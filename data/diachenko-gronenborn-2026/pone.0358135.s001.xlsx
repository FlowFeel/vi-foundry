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16AD7DDE-528B-499F-BC16-6A79985AED80}" xr6:coauthVersionLast="47" xr6:coauthVersionMax="47" xr10:uidLastSave="{00000000-0000-0000-0000-000000000000}"/>
  <bookViews>
    <workbookView xWindow="-120" yWindow="-120" windowWidth="51840" windowHeight="21120" activeTab="8" xr2:uid="{00000000-000D-0000-FFFF-FFFF00000000}"/>
  </bookViews>
  <sheets>
    <sheet name="Fig 2" sheetId="1" r:id="rId1"/>
    <sheet name="Fig 3" sheetId="2" r:id="rId2"/>
    <sheet name="Fig 4" sheetId="3" r:id="rId3"/>
    <sheet name="Fig 5" sheetId="4" r:id="rId4"/>
    <sheet name="Fig 6" sheetId="5" r:id="rId5"/>
    <sheet name="Fig 7" sheetId="6" r:id="rId6"/>
    <sheet name="Fig 8" sheetId="7" r:id="rId7"/>
    <sheet name="Fig 9" sheetId="8" r:id="rId8"/>
    <sheet name="Fig 10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4" l="1"/>
  <c r="B43" i="4"/>
  <c r="B42" i="4"/>
  <c r="B41" i="4"/>
</calcChain>
</file>

<file path=xl/sharedStrings.xml><?xml version="1.0" encoding="utf-8"?>
<sst xmlns="http://schemas.openxmlformats.org/spreadsheetml/2006/main" count="238" uniqueCount="67">
  <si>
    <t>Proportion</t>
  </si>
  <si>
    <t>Proportion of the primary unit</t>
  </si>
  <si>
    <t>Max proportion of the primary unit</t>
  </si>
  <si>
    <t>Note</t>
  </si>
  <si>
    <t>Shannon entropy of the primary unit</t>
  </si>
  <si>
    <r>
      <rPr>
        <b/>
        <i/>
        <sz val="11"/>
        <color theme="1"/>
        <rFont val="Calibri"/>
        <family val="2"/>
        <charset val="204"/>
        <scheme val="minor"/>
      </rPr>
      <t>k</t>
    </r>
    <r>
      <rPr>
        <b/>
        <sz val="11"/>
        <color theme="1"/>
        <rFont val="Calibri"/>
        <family val="2"/>
        <charset val="204"/>
        <scheme val="minor"/>
      </rPr>
      <t>-parameter</t>
    </r>
  </si>
  <si>
    <t>A</t>
  </si>
  <si>
    <t>B</t>
  </si>
  <si>
    <t>C</t>
  </si>
  <si>
    <t>Proportion of units A, B, C</t>
  </si>
  <si>
    <t>Unit of time</t>
  </si>
  <si>
    <t>Diversity</t>
  </si>
  <si>
    <t>Assemblage Diversity</t>
  </si>
  <si>
    <t>Fig 5A</t>
  </si>
  <si>
    <t>k</t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</si>
  <si>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0.25</t>
    </r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</si>
  <si>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0.75</t>
    </r>
  </si>
  <si>
    <t>Fig 5B</t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</si>
  <si>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0.8</t>
    </r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</si>
  <si>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0.9</t>
    </r>
  </si>
  <si>
    <t>Estimated according to Eq 7</t>
  </si>
  <si>
    <t>Estimations of the stability threshold (replication rate) according to Eq 6</t>
  </si>
  <si>
    <t>Fig 5C</t>
  </si>
  <si>
    <r>
      <rPr>
        <i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>-values represent the rate of increase in production</t>
    </r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</si>
  <si>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0.1</t>
    </r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</si>
  <si>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0.15</t>
    </r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</si>
  <si>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0.2</t>
    </r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</si>
  <si>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0.4</t>
    </r>
  </si>
  <si>
    <r>
      <rPr>
        <i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>-values represent the rate of decline in production</t>
    </r>
  </si>
  <si>
    <t>Fig 5D</t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</si>
  <si>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0.5</t>
    </r>
  </si>
  <si>
    <r>
      <rPr>
        <b/>
        <i/>
        <sz val="11"/>
        <color theme="1"/>
        <rFont val="Calibri"/>
        <family val="2"/>
        <charset val="204"/>
        <scheme val="minor"/>
      </rPr>
      <t>p</t>
    </r>
    <r>
      <rPr>
        <b/>
        <sz val="11"/>
        <color theme="1"/>
        <rFont val="Calibri"/>
        <family val="2"/>
        <charset val="204"/>
        <scheme val="minor"/>
      </rPr>
      <t xml:space="preserve"> = 0.6</t>
    </r>
  </si>
  <si>
    <t>Structure of the hypothetical assemblage</t>
  </si>
  <si>
    <t>Population proxy</t>
  </si>
  <si>
    <t>Assemblage diversity</t>
  </si>
  <si>
    <t>D</t>
  </si>
  <si>
    <t>Time unit</t>
  </si>
  <si>
    <t>Type</t>
  </si>
  <si>
    <t>Replication</t>
  </si>
  <si>
    <t>Entropy</t>
  </si>
  <si>
    <t>Replication (secondary types)</t>
  </si>
  <si>
    <t>Proportion of types is simulated according to Eqs 4 and 5 as follows:</t>
  </si>
  <si>
    <t>Proportion of types</t>
  </si>
  <si>
    <t>Note: changing order of 'A' and 'B' types represents the change in their 'primary' and 'secondary' status</t>
  </si>
  <si>
    <t>-</t>
  </si>
  <si>
    <t>(scaled production)</t>
  </si>
  <si>
    <t>E</t>
  </si>
  <si>
    <t>F</t>
  </si>
  <si>
    <t>G</t>
  </si>
  <si>
    <t>H</t>
  </si>
  <si>
    <t>I</t>
  </si>
  <si>
    <t>J</t>
  </si>
  <si>
    <t>Estimated according to Eq 1</t>
  </si>
  <si>
    <t>Time</t>
  </si>
  <si>
    <t>Population proxy (pits)</t>
  </si>
  <si>
    <t>Entropy (band types)</t>
  </si>
  <si>
    <t>Diversity (band types)</t>
  </si>
  <si>
    <t>Diversity (motifs)</t>
  </si>
  <si>
    <t>Entropy (motifs)</t>
  </si>
  <si>
    <t>Data Source (numbers in the reference list)</t>
  </si>
  <si>
    <t>Diversity of forms</t>
  </si>
  <si>
    <t>Number of decoration classes</t>
  </si>
  <si>
    <t>Population: cited from [38]</t>
  </si>
  <si>
    <t>Diversity of forms: cited from [10]</t>
  </si>
  <si>
    <t>Richness (number of) decoration classes: counted from [112-115]</t>
  </si>
  <si>
    <t>[4, 25]</t>
  </si>
  <si>
    <t>Diversity estimated according to Eq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</si>
</sst>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D1" sqref="D1:D2"/>
    </sheetView>
  </sheetViews>
  <sheetFormatPr baseColWidth="10" defaultColWidth="9.140625" defaultRowHeight="15" x14ac:dyDescent="0.25"/>
  <cols>
    <col min="1" max="1" width="30.85546875" customWidth="1"/>
    <col min="2" max="2" width="32.28515625" customWidth="1"/>
    <col min="4" max="4" width="74.140625" customWidth="1"/>
  </cols>
  <sheetData>
    <row r="1" spans="1:4" x14ac:dyDescent="0.25">
      <c r="A1" s="3" t="s">
        <v>1</v>
      </c>
      <c r="B1" s="3" t="s">
        <v>4</v>
      </c>
      <c r="D1" s="3" t="s">
        <v>3</v>
      </c>
    </row>
    <row r="2" spans="1:4" x14ac:dyDescent="0.25">
      <c r="A2" s="4">
        <v>0.05</v>
      </c>
      <c r="B2" s="4">
        <v>0.14978661367769955</v>
      </c>
      <c r="D2" s="4" t="s">
        <v>52</v>
      </c>
    </row>
    <row r="3" spans="1:4" x14ac:dyDescent="0.25">
      <c r="A3" s="4">
        <v>0.1</v>
      </c>
      <c r="B3" s="4">
        <v>0.23025850929940456</v>
      </c>
    </row>
    <row r="4" spans="1:4" x14ac:dyDescent="0.25">
      <c r="A4" s="4">
        <v>0.15</v>
      </c>
      <c r="B4" s="4">
        <v>0.28456799773288216</v>
      </c>
    </row>
    <row r="5" spans="1:4" x14ac:dyDescent="0.25">
      <c r="A5" s="4">
        <v>0.2</v>
      </c>
      <c r="B5" s="4">
        <v>0.32188758248682009</v>
      </c>
    </row>
    <row r="6" spans="1:4" x14ac:dyDescent="0.25">
      <c r="A6" s="4">
        <v>0.25</v>
      </c>
      <c r="B6" s="4">
        <v>0.34657359027997264</v>
      </c>
    </row>
    <row r="7" spans="1:4" x14ac:dyDescent="0.25">
      <c r="A7" s="4">
        <v>0.3</v>
      </c>
      <c r="B7" s="4">
        <v>0.36119184129778081</v>
      </c>
    </row>
    <row r="8" spans="1:4" x14ac:dyDescent="0.25">
      <c r="A8" s="4">
        <v>0.35</v>
      </c>
      <c r="B8" s="4">
        <v>0.36743774357453723</v>
      </c>
    </row>
    <row r="9" spans="1:4" x14ac:dyDescent="0.25">
      <c r="A9" s="4">
        <v>0.4</v>
      </c>
      <c r="B9" s="4">
        <v>0.36651629274966202</v>
      </c>
    </row>
    <row r="10" spans="1:4" x14ac:dyDescent="0.25">
      <c r="A10" s="4">
        <v>0.45</v>
      </c>
      <c r="B10" s="4">
        <v>0.35932846329799722</v>
      </c>
    </row>
    <row r="11" spans="1:4" x14ac:dyDescent="0.25">
      <c r="A11" s="4">
        <v>0.5</v>
      </c>
      <c r="B11" s="4">
        <v>0.34657359027997264</v>
      </c>
    </row>
    <row r="12" spans="1:4" x14ac:dyDescent="0.25">
      <c r="A12" s="4">
        <v>0.55000000000000004</v>
      </c>
      <c r="B12" s="4">
        <v>0.32881035041559126</v>
      </c>
    </row>
    <row r="13" spans="1:4" x14ac:dyDescent="0.25">
      <c r="A13" s="4">
        <v>0.6</v>
      </c>
      <c r="B13" s="4">
        <v>0.30649537425959444</v>
      </c>
    </row>
    <row r="14" spans="1:4" x14ac:dyDescent="0.25">
      <c r="A14" s="4">
        <v>0.65</v>
      </c>
      <c r="B14" s="4">
        <v>0.28000889546009528</v>
      </c>
    </row>
    <row r="15" spans="1:4" x14ac:dyDescent="0.25">
      <c r="A15" s="4">
        <v>0.7</v>
      </c>
      <c r="B15" s="4">
        <v>0.24967246075711269</v>
      </c>
    </row>
    <row r="16" spans="1:4" x14ac:dyDescent="0.25">
      <c r="A16" s="4">
        <v>0.75</v>
      </c>
      <c r="B16" s="4">
        <v>0.21576155433883568</v>
      </c>
    </row>
    <row r="17" spans="1:2" x14ac:dyDescent="0.25">
      <c r="A17" s="4">
        <v>0.8</v>
      </c>
      <c r="B17" s="4">
        <v>0.17851484105136778</v>
      </c>
    </row>
    <row r="18" spans="1:2" x14ac:dyDescent="0.25">
      <c r="A18" s="4">
        <v>0.85</v>
      </c>
      <c r="B18" s="4">
        <v>0.13814109007310871</v>
      </c>
    </row>
    <row r="19" spans="1:2" x14ac:dyDescent="0.25">
      <c r="A19" s="4">
        <v>0.9</v>
      </c>
      <c r="B19" s="4">
        <v>9.4824464092043662E-2</v>
      </c>
    </row>
    <row r="20" spans="1:2" x14ac:dyDescent="0.25">
      <c r="A20" s="4">
        <v>0.95</v>
      </c>
      <c r="B20" s="4">
        <v>4.8728629668173047E-2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C15" sqref="C15"/>
    </sheetView>
  </sheetViews>
  <sheetFormatPr baseColWidth="10" defaultColWidth="9.140625" defaultRowHeight="15" x14ac:dyDescent="0.25"/>
  <cols>
    <col min="1" max="1" width="12" customWidth="1"/>
    <col min="2" max="2" width="32.28515625" customWidth="1"/>
    <col min="3" max="3" width="9.42578125" customWidth="1"/>
    <col min="4" max="4" width="43.7109375" customWidth="1"/>
  </cols>
  <sheetData>
    <row r="1" spans="1:4" x14ac:dyDescent="0.25">
      <c r="A1" s="3" t="s">
        <v>5</v>
      </c>
      <c r="B1" s="3" t="s">
        <v>2</v>
      </c>
      <c r="D1" s="3" t="s">
        <v>3</v>
      </c>
    </row>
    <row r="2" spans="1:4" x14ac:dyDescent="0.25">
      <c r="A2" s="4">
        <v>0.1</v>
      </c>
      <c r="B2" s="4">
        <v>9.7500000000000003E-2</v>
      </c>
      <c r="D2" s="4" t="s">
        <v>20</v>
      </c>
    </row>
    <row r="3" spans="1:4" x14ac:dyDescent="0.25">
      <c r="A3" s="4">
        <v>0.2</v>
      </c>
      <c r="B3" s="4">
        <v>0.19</v>
      </c>
    </row>
    <row r="4" spans="1:4" x14ac:dyDescent="0.25">
      <c r="A4" s="4">
        <v>0.3</v>
      </c>
      <c r="B4" s="4">
        <v>0.27749999999999997</v>
      </c>
    </row>
    <row r="5" spans="1:4" x14ac:dyDescent="0.25">
      <c r="A5" s="4">
        <v>0.4</v>
      </c>
      <c r="B5" s="4">
        <v>0.36</v>
      </c>
    </row>
    <row r="6" spans="1:4" x14ac:dyDescent="0.25">
      <c r="A6" s="4">
        <v>0.5</v>
      </c>
      <c r="B6" s="4">
        <v>0.4375</v>
      </c>
    </row>
    <row r="7" spans="1:4" x14ac:dyDescent="0.25">
      <c r="A7" s="4">
        <v>0.6</v>
      </c>
      <c r="B7" s="4">
        <v>0.51</v>
      </c>
    </row>
    <row r="8" spans="1:4" x14ac:dyDescent="0.25">
      <c r="A8" s="4">
        <v>0.7</v>
      </c>
      <c r="B8" s="4">
        <v>0.57750000000000001</v>
      </c>
    </row>
    <row r="9" spans="1:4" x14ac:dyDescent="0.25">
      <c r="A9" s="4">
        <v>0.8</v>
      </c>
      <c r="B9" s="4">
        <v>0.64</v>
      </c>
    </row>
    <row r="10" spans="1:4" x14ac:dyDescent="0.25">
      <c r="A10" s="4">
        <v>0.9</v>
      </c>
      <c r="B10" s="4">
        <v>0.69750000000000001</v>
      </c>
    </row>
    <row r="11" spans="1:4" x14ac:dyDescent="0.25">
      <c r="A11" s="4">
        <v>1</v>
      </c>
      <c r="B11" s="4">
        <v>0.75</v>
      </c>
    </row>
    <row r="12" spans="1:4" x14ac:dyDescent="0.25">
      <c r="A12" s="4">
        <v>1.1000000000000001</v>
      </c>
      <c r="B12" s="4">
        <v>0.7975000000000001</v>
      </c>
    </row>
    <row r="13" spans="1:4" x14ac:dyDescent="0.25">
      <c r="A13" s="4">
        <v>1.2</v>
      </c>
      <c r="B13" s="4">
        <v>0.84</v>
      </c>
    </row>
    <row r="14" spans="1:4" x14ac:dyDescent="0.25">
      <c r="A14" s="4">
        <v>1.3</v>
      </c>
      <c r="B14" s="4">
        <v>0.87749999999999995</v>
      </c>
    </row>
    <row r="15" spans="1:4" x14ac:dyDescent="0.25">
      <c r="A15" s="4">
        <v>1.4</v>
      </c>
      <c r="B15" s="4">
        <v>0.90999999999999992</v>
      </c>
    </row>
    <row r="16" spans="1:4" x14ac:dyDescent="0.25">
      <c r="A16" s="4">
        <v>1.5</v>
      </c>
      <c r="B16" s="4">
        <v>0.9375</v>
      </c>
    </row>
    <row r="17" spans="1:2" x14ac:dyDescent="0.25">
      <c r="A17" s="4">
        <v>1.6</v>
      </c>
      <c r="B17" s="4">
        <v>0.96</v>
      </c>
    </row>
    <row r="18" spans="1:2" x14ac:dyDescent="0.25">
      <c r="A18" s="4">
        <v>1.7</v>
      </c>
      <c r="B18" s="4">
        <v>0.97750000000000004</v>
      </c>
    </row>
    <row r="19" spans="1:2" x14ac:dyDescent="0.25">
      <c r="A19" s="4">
        <v>1.8</v>
      </c>
      <c r="B19" s="4">
        <v>0.99</v>
      </c>
    </row>
    <row r="20" spans="1:2" x14ac:dyDescent="0.25">
      <c r="A20" s="4">
        <v>1.9</v>
      </c>
      <c r="B20" s="4">
        <v>0.99749999999999994</v>
      </c>
    </row>
    <row r="21" spans="1:2" x14ac:dyDescent="0.25">
      <c r="A21" s="4">
        <v>2</v>
      </c>
      <c r="B21" s="4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G2" sqref="G2"/>
    </sheetView>
  </sheetViews>
  <sheetFormatPr baseColWidth="10" defaultColWidth="9.140625" defaultRowHeight="15" x14ac:dyDescent="0.25"/>
  <cols>
    <col min="1" max="1" width="12.140625" customWidth="1"/>
    <col min="4" max="4" width="8.85546875" customWidth="1"/>
    <col min="5" max="5" width="18.85546875" customWidth="1"/>
    <col min="7" max="7" width="59" customWidth="1"/>
  </cols>
  <sheetData>
    <row r="1" spans="1:7" x14ac:dyDescent="0.25">
      <c r="A1" s="2" t="s">
        <v>10</v>
      </c>
      <c r="B1" s="2" t="s">
        <v>9</v>
      </c>
      <c r="C1" s="2"/>
      <c r="D1" s="2"/>
      <c r="E1" s="3" t="s">
        <v>12</v>
      </c>
      <c r="G1" s="3" t="s">
        <v>3</v>
      </c>
    </row>
    <row r="2" spans="1:7" x14ac:dyDescent="0.25">
      <c r="A2" s="1"/>
      <c r="B2" s="4" t="s">
        <v>6</v>
      </c>
      <c r="C2" s="4" t="s">
        <v>7</v>
      </c>
      <c r="D2" s="4" t="s">
        <v>8</v>
      </c>
      <c r="G2" s="4" t="s">
        <v>66</v>
      </c>
    </row>
    <row r="3" spans="1:7" x14ac:dyDescent="0.25">
      <c r="A3" s="1">
        <v>1</v>
      </c>
      <c r="B3" s="4">
        <v>0.8</v>
      </c>
      <c r="C3" s="4">
        <v>0.1</v>
      </c>
      <c r="D3" s="4">
        <v>0.1</v>
      </c>
      <c r="E3" s="4">
        <v>1.81</v>
      </c>
    </row>
    <row r="4" spans="1:7" x14ac:dyDescent="0.25">
      <c r="A4" s="1">
        <v>2</v>
      </c>
      <c r="B4" s="4">
        <v>0.71404958677685948</v>
      </c>
      <c r="C4" s="4">
        <v>0.14297520661157026</v>
      </c>
      <c r="D4" s="4">
        <v>0.14297520661157026</v>
      </c>
      <c r="E4" s="4">
        <v>2.2200000000000002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>
      <selection activeCell="E44" sqref="E44"/>
    </sheetView>
  </sheetViews>
  <sheetFormatPr baseColWidth="10" defaultColWidth="9.140625" defaultRowHeight="15" x14ac:dyDescent="0.25"/>
  <cols>
    <col min="5" max="5" width="9.28515625" customWidth="1"/>
    <col min="7" max="7" width="61.42578125" customWidth="1"/>
  </cols>
  <sheetData>
    <row r="1" spans="1:7" x14ac:dyDescent="0.25">
      <c r="A1" t="s">
        <v>13</v>
      </c>
    </row>
    <row r="2" spans="1:7" x14ac:dyDescent="0.25">
      <c r="A2" s="5" t="s">
        <v>14</v>
      </c>
      <c r="B2" s="2" t="s">
        <v>15</v>
      </c>
      <c r="C2" s="2" t="s">
        <v>16</v>
      </c>
      <c r="G2" s="2" t="s">
        <v>3</v>
      </c>
    </row>
    <row r="3" spans="1:7" x14ac:dyDescent="0.25">
      <c r="A3" s="4">
        <v>1.1000000000000001</v>
      </c>
      <c r="B3" s="4">
        <v>1.4235294117647059</v>
      </c>
      <c r="C3" s="4">
        <v>3.4571428571428569</v>
      </c>
      <c r="G3" t="s">
        <v>21</v>
      </c>
    </row>
    <row r="4" spans="1:7" x14ac:dyDescent="0.25">
      <c r="A4" s="4">
        <v>1.2</v>
      </c>
      <c r="B4" s="4">
        <v>1.5157894736842106</v>
      </c>
      <c r="C4" s="4">
        <v>3.1999999999999997</v>
      </c>
      <c r="G4" t="s">
        <v>23</v>
      </c>
    </row>
    <row r="5" spans="1:7" x14ac:dyDescent="0.25">
      <c r="A5" s="4">
        <v>1.3</v>
      </c>
      <c r="B5" s="4">
        <v>1.6095238095238096</v>
      </c>
      <c r="C5" s="4">
        <v>3.0727272727272723</v>
      </c>
    </row>
    <row r="6" spans="1:7" x14ac:dyDescent="0.25">
      <c r="A6" s="4">
        <v>1.4</v>
      </c>
      <c r="B6" s="4">
        <v>1.7043478260869565</v>
      </c>
      <c r="C6" s="4">
        <v>3.0153846153846149</v>
      </c>
    </row>
    <row r="7" spans="1:7" x14ac:dyDescent="0.25">
      <c r="A7" s="4">
        <v>1.5</v>
      </c>
      <c r="B7" s="4">
        <v>1.7999999999999998</v>
      </c>
      <c r="C7" s="4">
        <v>3</v>
      </c>
    </row>
    <row r="8" spans="1:7" x14ac:dyDescent="0.25">
      <c r="A8" s="4">
        <v>1.6</v>
      </c>
      <c r="B8" s="4">
        <v>1.8962962962962964</v>
      </c>
      <c r="C8" s="4">
        <v>3.0117647058823529</v>
      </c>
    </row>
    <row r="9" spans="1:7" x14ac:dyDescent="0.25">
      <c r="A9" s="4">
        <v>1.7</v>
      </c>
      <c r="B9" s="4">
        <v>1.9931034482758621</v>
      </c>
      <c r="C9" s="4">
        <v>3.0421052631578944</v>
      </c>
    </row>
    <row r="10" spans="1:7" x14ac:dyDescent="0.25">
      <c r="A10" s="4">
        <v>1.8</v>
      </c>
      <c r="B10" s="4">
        <v>2.0903225806451613</v>
      </c>
      <c r="C10" s="4">
        <v>3.0857142857142854</v>
      </c>
    </row>
    <row r="11" spans="1:7" x14ac:dyDescent="0.25">
      <c r="A11" s="4">
        <v>1.9</v>
      </c>
      <c r="B11" s="4">
        <v>2.1878787878787875</v>
      </c>
      <c r="C11" s="4">
        <v>3.1391304347826088</v>
      </c>
    </row>
    <row r="12" spans="1:7" x14ac:dyDescent="0.25">
      <c r="A12" s="4">
        <v>2</v>
      </c>
      <c r="B12" s="4">
        <v>2.2857142857142856</v>
      </c>
      <c r="C12" s="4">
        <v>3.2</v>
      </c>
    </row>
    <row r="14" spans="1:7" x14ac:dyDescent="0.25">
      <c r="A14" t="s">
        <v>17</v>
      </c>
    </row>
    <row r="15" spans="1:7" x14ac:dyDescent="0.25">
      <c r="A15" s="5" t="s">
        <v>14</v>
      </c>
      <c r="B15" s="3" t="s">
        <v>18</v>
      </c>
      <c r="C15" s="3" t="s">
        <v>19</v>
      </c>
      <c r="G15" s="2" t="s">
        <v>3</v>
      </c>
    </row>
    <row r="16" spans="1:7" x14ac:dyDescent="0.25">
      <c r="A16" s="4">
        <v>1.1000000000000001</v>
      </c>
      <c r="B16" s="4"/>
      <c r="C16" s="4"/>
      <c r="G16" t="s">
        <v>21</v>
      </c>
    </row>
    <row r="17" spans="1:7" x14ac:dyDescent="0.25">
      <c r="A17" s="4">
        <v>1.2</v>
      </c>
      <c r="B17" s="4">
        <v>3.6000000000000005</v>
      </c>
      <c r="C17" s="4"/>
      <c r="G17" t="s">
        <v>23</v>
      </c>
    </row>
    <row r="18" spans="1:7" x14ac:dyDescent="0.25">
      <c r="A18" s="4">
        <v>1.3</v>
      </c>
      <c r="B18" s="4">
        <v>3.3800000000000003</v>
      </c>
      <c r="C18" s="4"/>
    </row>
    <row r="19" spans="1:7" x14ac:dyDescent="0.25">
      <c r="A19" s="4">
        <v>1.4</v>
      </c>
      <c r="B19" s="4">
        <v>3.2666666666666671</v>
      </c>
      <c r="C19" s="4">
        <v>3.9200000000000004</v>
      </c>
    </row>
    <row r="20" spans="1:7" x14ac:dyDescent="0.25">
      <c r="A20" s="4">
        <v>1.5</v>
      </c>
      <c r="B20" s="4">
        <v>3.2142857142857144</v>
      </c>
      <c r="C20" s="4">
        <v>3.75</v>
      </c>
    </row>
    <row r="21" spans="1:7" x14ac:dyDescent="0.25">
      <c r="A21" s="4">
        <v>1.6</v>
      </c>
      <c r="B21" s="4">
        <v>3.2</v>
      </c>
      <c r="C21" s="4">
        <v>3.6571428571428575</v>
      </c>
    </row>
    <row r="22" spans="1:7" x14ac:dyDescent="0.25">
      <c r="A22" s="4">
        <v>1.7</v>
      </c>
      <c r="B22" s="4">
        <v>3.2111111111111117</v>
      </c>
      <c r="C22" s="4">
        <v>3.6124999999999998</v>
      </c>
    </row>
    <row r="23" spans="1:7" x14ac:dyDescent="0.25">
      <c r="A23" s="4">
        <v>1.8</v>
      </c>
      <c r="B23" s="4">
        <v>3.2399999999999998</v>
      </c>
      <c r="C23" s="4">
        <v>3.6</v>
      </c>
    </row>
    <row r="24" spans="1:7" x14ac:dyDescent="0.25">
      <c r="A24" s="4">
        <v>1.9</v>
      </c>
      <c r="B24" s="4">
        <v>3.2818181818181817</v>
      </c>
      <c r="C24" s="4">
        <v>3.61</v>
      </c>
    </row>
    <row r="25" spans="1:7" x14ac:dyDescent="0.25">
      <c r="A25" s="4">
        <v>2</v>
      </c>
      <c r="B25" s="4">
        <v>3.3333333333333335</v>
      </c>
      <c r="C25" s="4">
        <v>3.6363636363636362</v>
      </c>
    </row>
    <row r="26" spans="1:7" x14ac:dyDescent="0.25">
      <c r="A26" s="4">
        <v>2</v>
      </c>
      <c r="B26" s="4">
        <v>3.3333333333333335</v>
      </c>
      <c r="C26" s="4">
        <v>3.6363636363636362</v>
      </c>
    </row>
    <row r="28" spans="1:7" x14ac:dyDescent="0.25">
      <c r="A28" t="s">
        <v>22</v>
      </c>
    </row>
    <row r="29" spans="1:7" x14ac:dyDescent="0.25">
      <c r="A29" s="5" t="s">
        <v>14</v>
      </c>
      <c r="B29" s="3" t="s">
        <v>24</v>
      </c>
      <c r="C29" s="3" t="s">
        <v>25</v>
      </c>
      <c r="D29" s="3" t="s">
        <v>26</v>
      </c>
      <c r="E29" s="3" t="s">
        <v>27</v>
      </c>
      <c r="G29" s="2" t="s">
        <v>3</v>
      </c>
    </row>
    <row r="30" spans="1:7" x14ac:dyDescent="0.25">
      <c r="A30">
        <v>0.9</v>
      </c>
      <c r="B30">
        <v>1.0125000000000002</v>
      </c>
      <c r="C30">
        <v>1.08</v>
      </c>
      <c r="D30">
        <v>1.1571428571428573</v>
      </c>
      <c r="E30">
        <v>1.6199999999999999</v>
      </c>
      <c r="G30" t="s">
        <v>21</v>
      </c>
    </row>
    <row r="31" spans="1:7" x14ac:dyDescent="0.25">
      <c r="A31">
        <v>0.8</v>
      </c>
      <c r="B31">
        <v>0.91428571428571437</v>
      </c>
      <c r="C31">
        <v>0.98461538461538467</v>
      </c>
      <c r="D31">
        <v>1.0666666666666667</v>
      </c>
      <c r="E31">
        <v>1.6</v>
      </c>
      <c r="G31" t="s">
        <v>28</v>
      </c>
    </row>
    <row r="32" spans="1:7" x14ac:dyDescent="0.25">
      <c r="A32">
        <v>0.7</v>
      </c>
      <c r="B32">
        <v>0.81666666666666665</v>
      </c>
      <c r="C32">
        <v>0.89090909090909087</v>
      </c>
      <c r="D32">
        <v>0.98000000000000009</v>
      </c>
      <c r="E32">
        <v>1.6333333333333335</v>
      </c>
    </row>
    <row r="33" spans="1:7" x14ac:dyDescent="0.25">
      <c r="A33">
        <v>0.6</v>
      </c>
      <c r="B33">
        <v>0.72000000000000008</v>
      </c>
      <c r="C33">
        <v>0.79999999999999993</v>
      </c>
      <c r="D33">
        <v>0.9</v>
      </c>
      <c r="E33">
        <v>1.8000000000000003</v>
      </c>
    </row>
    <row r="34" spans="1:7" x14ac:dyDescent="0.25">
      <c r="A34">
        <v>0.5</v>
      </c>
      <c r="B34">
        <v>0.625</v>
      </c>
      <c r="C34">
        <v>0.7142857142857143</v>
      </c>
      <c r="D34">
        <v>0.83333333333333337</v>
      </c>
      <c r="E34">
        <v>2.5000000000000004</v>
      </c>
    </row>
    <row r="35" spans="1:7" x14ac:dyDescent="0.25">
      <c r="A35">
        <v>0.4</v>
      </c>
      <c r="B35">
        <v>0.53333333333333333</v>
      </c>
      <c r="C35">
        <v>0.64</v>
      </c>
      <c r="D35">
        <v>0.8</v>
      </c>
    </row>
    <row r="36" spans="1:7" x14ac:dyDescent="0.25">
      <c r="A36">
        <v>0.3</v>
      </c>
      <c r="B36">
        <v>0.45</v>
      </c>
      <c r="C36">
        <v>0.6</v>
      </c>
      <c r="D36">
        <v>0.90000000000000013</v>
      </c>
    </row>
    <row r="37" spans="1:7" x14ac:dyDescent="0.25">
      <c r="A37">
        <v>0.2</v>
      </c>
      <c r="B37">
        <v>0.4</v>
      </c>
      <c r="C37">
        <v>0.79999999999999971</v>
      </c>
    </row>
    <row r="39" spans="1:7" x14ac:dyDescent="0.25">
      <c r="A39" t="s">
        <v>29</v>
      </c>
    </row>
    <row r="40" spans="1:7" x14ac:dyDescent="0.25">
      <c r="A40" s="5" t="s">
        <v>14</v>
      </c>
      <c r="B40" s="3" t="s">
        <v>30</v>
      </c>
      <c r="C40" s="3" t="s">
        <v>31</v>
      </c>
      <c r="G40" s="2" t="s">
        <v>3</v>
      </c>
    </row>
    <row r="41" spans="1:7" x14ac:dyDescent="0.25">
      <c r="A41">
        <v>0.9</v>
      </c>
      <c r="B41">
        <f>A41/(1-0.5/A41)</f>
        <v>2.0250000000000004</v>
      </c>
      <c r="C41">
        <v>2.6999999999999997</v>
      </c>
      <c r="G41" t="s">
        <v>21</v>
      </c>
    </row>
    <row r="42" spans="1:7" x14ac:dyDescent="0.25">
      <c r="A42">
        <v>0.8</v>
      </c>
      <c r="B42">
        <f>A42/(1-0.5/A42)</f>
        <v>2.1333333333333333</v>
      </c>
      <c r="C42">
        <v>3.1999999999999988</v>
      </c>
      <c r="G42" t="s">
        <v>28</v>
      </c>
    </row>
    <row r="43" spans="1:7" x14ac:dyDescent="0.25">
      <c r="A43">
        <v>0.7</v>
      </c>
      <c r="B43">
        <f>A43/(1-0.5/A43)</f>
        <v>2.4500000000000002</v>
      </c>
    </row>
    <row r="44" spans="1:7" x14ac:dyDescent="0.25">
      <c r="A44">
        <v>0.6</v>
      </c>
      <c r="B44">
        <f>A44/(1-0.5/A44)</f>
        <v>3.6000000000000005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4"/>
  <sheetViews>
    <sheetView workbookViewId="0">
      <selection activeCell="J26" sqref="J26"/>
    </sheetView>
  </sheetViews>
  <sheetFormatPr baseColWidth="10" defaultColWidth="9.140625" defaultRowHeight="15" x14ac:dyDescent="0.25"/>
  <cols>
    <col min="5" max="5" width="9.7109375" customWidth="1"/>
    <col min="6" max="6" width="15.85546875" customWidth="1"/>
    <col min="7" max="7" width="25.140625" customWidth="1"/>
    <col min="10" max="10" width="92.42578125" customWidth="1"/>
  </cols>
  <sheetData>
    <row r="1" spans="1:9" x14ac:dyDescent="0.25">
      <c r="B1" s="2" t="s">
        <v>32</v>
      </c>
      <c r="C1" s="2"/>
      <c r="D1" s="2"/>
      <c r="E1" s="2"/>
      <c r="F1" s="2" t="s">
        <v>33</v>
      </c>
      <c r="G1" s="3" t="s">
        <v>34</v>
      </c>
    </row>
    <row r="2" spans="1:9" x14ac:dyDescent="0.25">
      <c r="A2" s="2"/>
      <c r="C2" s="1" t="s">
        <v>42</v>
      </c>
      <c r="D2" s="3"/>
      <c r="E2" s="3"/>
      <c r="F2" s="2" t="s">
        <v>45</v>
      </c>
    </row>
    <row r="3" spans="1:9" x14ac:dyDescent="0.25">
      <c r="B3" s="4">
        <v>0.1</v>
      </c>
      <c r="C3" s="4">
        <v>0.8</v>
      </c>
      <c r="D3" s="4">
        <v>0.05</v>
      </c>
      <c r="E3" s="4">
        <v>0.05</v>
      </c>
      <c r="F3" s="4">
        <v>1</v>
      </c>
      <c r="G3" s="4">
        <v>2.0306309908905886</v>
      </c>
    </row>
    <row r="4" spans="1:9" x14ac:dyDescent="0.25">
      <c r="B4" s="4">
        <v>0.18</v>
      </c>
      <c r="C4" s="4">
        <v>0.64</v>
      </c>
      <c r="D4" s="4">
        <v>0.09</v>
      </c>
      <c r="E4" s="4">
        <v>9.0000000000000011E-2</v>
      </c>
      <c r="F4" s="4">
        <v>1</v>
      </c>
      <c r="G4" s="4">
        <v>2.7946801744006429</v>
      </c>
    </row>
    <row r="5" spans="1:9" x14ac:dyDescent="0.25">
      <c r="B5" s="4">
        <v>0.24375000000000002</v>
      </c>
      <c r="C5" s="4">
        <v>0.5401785714285714</v>
      </c>
      <c r="D5" s="4">
        <v>0.10803571428571425</v>
      </c>
      <c r="E5" s="4">
        <v>0.10803571428571425</v>
      </c>
      <c r="F5" s="4">
        <v>1.2</v>
      </c>
      <c r="G5" s="4">
        <v>3.1822062379837268</v>
      </c>
    </row>
    <row r="6" spans="1:9" x14ac:dyDescent="0.25">
      <c r="B6" s="4">
        <v>0.3156469228316327</v>
      </c>
      <c r="C6" s="4">
        <v>0.48882362654883377</v>
      </c>
      <c r="D6" s="4">
        <v>9.7764725309766778E-2</v>
      </c>
      <c r="E6" s="4">
        <v>9.7764725309766778E-2</v>
      </c>
      <c r="F6" s="4">
        <v>1.68</v>
      </c>
      <c r="G6" s="4">
        <v>3.2171726183741756</v>
      </c>
    </row>
    <row r="7" spans="1:9" x14ac:dyDescent="0.25">
      <c r="B7" s="4">
        <v>0.38795116375815436</v>
      </c>
      <c r="C7" s="4">
        <v>0.43717774017274696</v>
      </c>
      <c r="D7" s="4">
        <v>8.7435548034549393E-2</v>
      </c>
      <c r="E7" s="4">
        <v>8.7435548034549393E-2</v>
      </c>
      <c r="F7" s="4">
        <v>3.024</v>
      </c>
      <c r="G7" s="4">
        <v>3.1746722604192161</v>
      </c>
    </row>
    <row r="8" spans="1:9" x14ac:dyDescent="0.25">
      <c r="B8" s="4">
        <v>0.4973384175944317</v>
      </c>
      <c r="C8" s="4">
        <v>0.35904398743254878</v>
      </c>
      <c r="D8" s="4">
        <v>7.1808797486509757E-2</v>
      </c>
      <c r="E8" s="4">
        <v>7.1808797486509757E-2</v>
      </c>
      <c r="F8" s="4">
        <v>3.6288</v>
      </c>
      <c r="G8" s="4">
        <v>2.9844285309220382</v>
      </c>
    </row>
    <row r="9" spans="1:9" x14ac:dyDescent="0.25">
      <c r="B9" s="4">
        <v>0.6001867754523591</v>
      </c>
      <c r="C9" s="4">
        <v>0.28558087467688636</v>
      </c>
      <c r="D9" s="4">
        <v>5.7116174935377281E-2</v>
      </c>
      <c r="E9" s="4">
        <v>5.7116174935377281E-2</v>
      </c>
      <c r="F9" s="4">
        <v>2.5401599999999998</v>
      </c>
      <c r="G9" s="4">
        <v>2.694767117975116</v>
      </c>
    </row>
    <row r="10" spans="1:9" x14ac:dyDescent="0.25">
      <c r="B10" s="4">
        <v>0.66131593605312522</v>
      </c>
      <c r="C10" s="4">
        <v>0.24191718853348201</v>
      </c>
      <c r="D10" s="4">
        <v>4.8383437706696411E-2</v>
      </c>
      <c r="E10" s="4">
        <v>4.8383437706696411E-2</v>
      </c>
      <c r="F10" s="4">
        <v>1.7781119999999997</v>
      </c>
      <c r="G10" s="4">
        <v>2.4839668701012108</v>
      </c>
    </row>
    <row r="13" spans="1:9" x14ac:dyDescent="0.25">
      <c r="A13" t="s">
        <v>41</v>
      </c>
    </row>
    <row r="15" spans="1:9" x14ac:dyDescent="0.25">
      <c r="B15" s="3" t="s">
        <v>36</v>
      </c>
      <c r="C15" s="3" t="s">
        <v>37</v>
      </c>
      <c r="D15" s="3" t="s">
        <v>0</v>
      </c>
      <c r="E15" s="3" t="s">
        <v>38</v>
      </c>
      <c r="F15" s="3" t="s">
        <v>5</v>
      </c>
      <c r="G15" s="3" t="s">
        <v>40</v>
      </c>
      <c r="H15" s="3" t="s">
        <v>39</v>
      </c>
      <c r="I15" s="3" t="s">
        <v>11</v>
      </c>
    </row>
    <row r="16" spans="1:9" x14ac:dyDescent="0.25">
      <c r="B16" s="4">
        <v>1</v>
      </c>
      <c r="C16" s="4" t="s">
        <v>6</v>
      </c>
      <c r="D16" s="4">
        <v>0.8</v>
      </c>
      <c r="E16" s="4" t="s">
        <v>44</v>
      </c>
      <c r="F16" s="4">
        <v>1</v>
      </c>
      <c r="G16" s="4" t="s">
        <v>44</v>
      </c>
      <c r="H16" s="4">
        <v>0.70834657770617138</v>
      </c>
      <c r="I16" s="4">
        <v>2.0306309908905886</v>
      </c>
    </row>
    <row r="17" spans="2:10" x14ac:dyDescent="0.25">
      <c r="B17" s="4"/>
      <c r="C17" s="4" t="s">
        <v>7</v>
      </c>
      <c r="D17" s="4">
        <v>0.1</v>
      </c>
      <c r="E17" s="4" t="s">
        <v>44</v>
      </c>
      <c r="F17" s="4">
        <v>1</v>
      </c>
      <c r="G17" s="4" t="s">
        <v>44</v>
      </c>
      <c r="H17" s="4"/>
      <c r="I17" s="4"/>
    </row>
    <row r="18" spans="2:10" x14ac:dyDescent="0.25">
      <c r="B18" s="4"/>
      <c r="C18" s="4" t="s">
        <v>8</v>
      </c>
      <c r="D18" s="4">
        <v>0.05</v>
      </c>
      <c r="E18" s="4" t="s">
        <v>44</v>
      </c>
      <c r="F18" s="4">
        <v>1</v>
      </c>
      <c r="G18" s="4" t="s">
        <v>44</v>
      </c>
      <c r="H18" s="4"/>
      <c r="I18" s="4"/>
    </row>
    <row r="19" spans="2:10" x14ac:dyDescent="0.25">
      <c r="B19" s="4"/>
      <c r="C19" s="4" t="s">
        <v>35</v>
      </c>
      <c r="D19" s="4">
        <v>0.05</v>
      </c>
      <c r="E19" s="4" t="s">
        <v>44</v>
      </c>
      <c r="F19" s="4">
        <v>1</v>
      </c>
      <c r="G19" s="4" t="s">
        <v>44</v>
      </c>
      <c r="H19" s="4"/>
      <c r="I19" s="4"/>
    </row>
    <row r="20" spans="2:10" x14ac:dyDescent="0.25">
      <c r="B20" s="4"/>
      <c r="C20" s="4"/>
      <c r="D20" s="4"/>
      <c r="E20" s="4"/>
      <c r="F20" s="4"/>
      <c r="G20" s="4"/>
      <c r="H20" s="4"/>
      <c r="I20" s="4"/>
    </row>
    <row r="21" spans="2:10" x14ac:dyDescent="0.25">
      <c r="B21" s="4">
        <v>2</v>
      </c>
      <c r="C21" s="4" t="s">
        <v>6</v>
      </c>
      <c r="D21" s="4">
        <v>0.6399999999999999</v>
      </c>
      <c r="E21" s="4">
        <v>4</v>
      </c>
      <c r="F21" s="4">
        <v>1</v>
      </c>
      <c r="G21" s="4">
        <v>2.2500000000000009</v>
      </c>
      <c r="H21" s="4">
        <v>1.0277176722960724</v>
      </c>
      <c r="I21" s="4">
        <v>2.7946801744006429</v>
      </c>
    </row>
    <row r="22" spans="2:10" x14ac:dyDescent="0.25">
      <c r="B22" s="4"/>
      <c r="C22" s="4" t="s">
        <v>7</v>
      </c>
      <c r="D22" s="4">
        <v>0.18000000000000002</v>
      </c>
      <c r="E22" s="4">
        <v>2</v>
      </c>
      <c r="F22" s="4">
        <v>1</v>
      </c>
      <c r="G22" s="4">
        <v>0.56250000000000022</v>
      </c>
      <c r="H22" s="4"/>
      <c r="I22" s="4"/>
    </row>
    <row r="23" spans="2:10" x14ac:dyDescent="0.25">
      <c r="B23" s="4"/>
      <c r="C23" s="4" t="s">
        <v>8</v>
      </c>
      <c r="D23" s="4">
        <v>9.0000000000000011E-2</v>
      </c>
      <c r="E23" s="4">
        <v>1.8947368421052633</v>
      </c>
      <c r="F23" s="4">
        <v>1</v>
      </c>
      <c r="G23" s="4">
        <v>0.56250000000000022</v>
      </c>
      <c r="H23" s="4"/>
      <c r="I23" s="4"/>
    </row>
    <row r="24" spans="2:10" x14ac:dyDescent="0.25">
      <c r="B24" s="4"/>
      <c r="C24" s="4" t="s">
        <v>35</v>
      </c>
      <c r="D24" s="4">
        <v>9.0000000000000011E-2</v>
      </c>
      <c r="E24" s="4">
        <v>1.8947368421052633</v>
      </c>
      <c r="F24" s="4">
        <v>1</v>
      </c>
      <c r="G24" s="4">
        <v>0.56250000000000022</v>
      </c>
      <c r="H24" s="4"/>
      <c r="I24" s="4"/>
    </row>
    <row r="25" spans="2:10" x14ac:dyDescent="0.25">
      <c r="B25" s="4"/>
      <c r="C25" s="4"/>
      <c r="D25" s="4"/>
      <c r="E25" s="4"/>
      <c r="F25" s="4"/>
      <c r="G25" s="4"/>
      <c r="H25" s="4"/>
      <c r="I25" s="4"/>
    </row>
    <row r="26" spans="2:10" x14ac:dyDescent="0.25">
      <c r="B26" s="4">
        <v>3</v>
      </c>
      <c r="C26" s="4" t="s">
        <v>7</v>
      </c>
      <c r="D26" s="4">
        <v>0.24375000000000002</v>
      </c>
      <c r="E26" s="4">
        <v>1.911764705882353</v>
      </c>
      <c r="F26" s="4">
        <v>1.2</v>
      </c>
      <c r="G26" s="4">
        <v>5.9313725490196063</v>
      </c>
      <c r="H26" s="4">
        <v>1.1575747417636362</v>
      </c>
      <c r="I26" s="4">
        <v>3.1822062379837268</v>
      </c>
      <c r="J26" t="s">
        <v>43</v>
      </c>
    </row>
    <row r="27" spans="2:10" x14ac:dyDescent="0.25">
      <c r="B27" s="4"/>
      <c r="C27" s="4" t="s">
        <v>6</v>
      </c>
      <c r="D27" s="4">
        <v>0.5401785714285714</v>
      </c>
      <c r="E27" s="4">
        <v>2.170360331632653</v>
      </c>
      <c r="F27" s="4">
        <v>1.2</v>
      </c>
      <c r="G27" s="4">
        <v>0.84733893557422946</v>
      </c>
      <c r="H27" s="4"/>
      <c r="I27" s="4"/>
    </row>
    <row r="28" spans="2:10" x14ac:dyDescent="0.25">
      <c r="B28" s="4"/>
      <c r="C28" s="4" t="s">
        <v>8</v>
      </c>
      <c r="D28" s="4">
        <v>0.10803571428571425</v>
      </c>
      <c r="E28" s="4">
        <v>1.5572715572715565</v>
      </c>
      <c r="F28" s="4">
        <v>1.2</v>
      </c>
      <c r="G28" s="4">
        <v>0.84733893557422946</v>
      </c>
      <c r="H28" s="4"/>
      <c r="I28" s="4"/>
    </row>
    <row r="29" spans="2:10" x14ac:dyDescent="0.25">
      <c r="B29" s="4"/>
      <c r="C29" s="4" t="s">
        <v>35</v>
      </c>
      <c r="D29" s="4">
        <v>0.10803571428571425</v>
      </c>
      <c r="E29" s="4">
        <v>1.5572715572715565</v>
      </c>
      <c r="F29" s="4">
        <v>1.2</v>
      </c>
      <c r="G29" s="4">
        <v>0.84733893557422946</v>
      </c>
      <c r="H29" s="4"/>
      <c r="I29" s="4"/>
    </row>
    <row r="30" spans="2:10" x14ac:dyDescent="0.25">
      <c r="B30" s="4"/>
      <c r="C30" s="4"/>
      <c r="D30" s="4"/>
      <c r="E30" s="4"/>
      <c r="F30" s="4"/>
      <c r="G30" s="4"/>
      <c r="H30" s="4"/>
      <c r="I30" s="4"/>
    </row>
    <row r="31" spans="2:10" x14ac:dyDescent="0.25">
      <c r="B31" s="4">
        <v>4</v>
      </c>
      <c r="C31" s="4" t="s">
        <v>7</v>
      </c>
      <c r="D31" s="4">
        <v>0.3156469228316327</v>
      </c>
      <c r="E31" s="4">
        <v>2.1951351351351351</v>
      </c>
      <c r="F31" s="4">
        <v>1.4</v>
      </c>
      <c r="G31" s="4">
        <v>4.7592654192654198</v>
      </c>
      <c r="H31" s="4">
        <v>1.1685029050001741</v>
      </c>
      <c r="I31" s="4">
        <v>3.2171726183741756</v>
      </c>
    </row>
    <row r="32" spans="2:10" x14ac:dyDescent="0.25">
      <c r="B32" s="4"/>
      <c r="C32" s="4" t="s">
        <v>6</v>
      </c>
      <c r="D32" s="4">
        <v>0.48882362654883377</v>
      </c>
      <c r="E32" s="4">
        <v>2.0628262231490777</v>
      </c>
      <c r="F32" s="4">
        <v>1.4</v>
      </c>
      <c r="G32" s="4">
        <v>0.67989505989505994</v>
      </c>
      <c r="H32" s="4"/>
      <c r="I32" s="4"/>
    </row>
    <row r="33" spans="2:9" x14ac:dyDescent="0.25">
      <c r="B33" s="4"/>
      <c r="C33" s="4" t="s">
        <v>8</v>
      </c>
      <c r="D33" s="4">
        <v>9.7764725309766778E-2</v>
      </c>
      <c r="E33" s="4">
        <v>1.3728415016534643</v>
      </c>
      <c r="F33" s="4">
        <v>1.4</v>
      </c>
      <c r="G33" s="4">
        <v>0.67989505989505994</v>
      </c>
      <c r="H33" s="4"/>
      <c r="I33" s="4"/>
    </row>
    <row r="34" spans="2:9" x14ac:dyDescent="0.25">
      <c r="B34" s="4"/>
      <c r="C34" s="4" t="s">
        <v>35</v>
      </c>
      <c r="D34" s="4">
        <v>9.7764725309766778E-2</v>
      </c>
      <c r="E34" s="4">
        <v>1.3728415016534643</v>
      </c>
      <c r="F34" s="4">
        <v>1.4</v>
      </c>
      <c r="G34" s="4">
        <v>0.67989505989505994</v>
      </c>
      <c r="H34" s="4"/>
      <c r="I34" s="4"/>
    </row>
    <row r="35" spans="2:9" x14ac:dyDescent="0.25">
      <c r="B35" s="4"/>
      <c r="C35" s="4"/>
      <c r="D35" s="4"/>
      <c r="E35" s="4"/>
      <c r="F35" s="4"/>
      <c r="G35" s="4"/>
      <c r="H35" s="4"/>
      <c r="I35" s="4"/>
    </row>
    <row r="36" spans="2:9" x14ac:dyDescent="0.25">
      <c r="B36" s="4">
        <v>5</v>
      </c>
      <c r="C36" s="4" t="s">
        <v>7</v>
      </c>
      <c r="D36" s="4">
        <v>0.38795116375815436</v>
      </c>
      <c r="E36" s="4">
        <v>2.6827690795648165</v>
      </c>
      <c r="F36" s="4">
        <v>1.8</v>
      </c>
      <c r="G36" s="4">
        <v>4.2324546139958334</v>
      </c>
      <c r="H36" s="4">
        <v>1.1552044019517675</v>
      </c>
      <c r="I36" s="4">
        <v>3.1746722604192161</v>
      </c>
    </row>
    <row r="37" spans="2:9" x14ac:dyDescent="0.25">
      <c r="B37" s="4"/>
      <c r="C37" s="4" t="s">
        <v>6</v>
      </c>
      <c r="D37" s="4">
        <v>0.43717774017274696</v>
      </c>
      <c r="E37" s="4">
        <v>2.2099871444582617</v>
      </c>
      <c r="F37" s="4">
        <v>1.8</v>
      </c>
      <c r="G37" s="4">
        <v>0.60463637342797616</v>
      </c>
      <c r="H37" s="4"/>
      <c r="I37" s="4"/>
    </row>
    <row r="38" spans="2:9" x14ac:dyDescent="0.25">
      <c r="B38" s="4"/>
      <c r="C38" s="4" t="s">
        <v>8</v>
      </c>
      <c r="D38" s="4">
        <v>8.7435548034549393E-2</v>
      </c>
      <c r="E38" s="4">
        <v>1.7022810962320067</v>
      </c>
      <c r="F38" s="4">
        <v>1.8</v>
      </c>
      <c r="G38" s="4">
        <v>0.60463637342797616</v>
      </c>
      <c r="H38" s="4"/>
      <c r="I38" s="4"/>
    </row>
    <row r="39" spans="2:9" x14ac:dyDescent="0.25">
      <c r="B39" s="4"/>
      <c r="C39" s="4" t="s">
        <v>35</v>
      </c>
      <c r="D39" s="4">
        <v>8.7435548034549393E-2</v>
      </c>
      <c r="E39" s="4">
        <v>1.7022810962320067</v>
      </c>
      <c r="F39" s="4">
        <v>1.8</v>
      </c>
      <c r="G39" s="4">
        <v>0.60463637342797616</v>
      </c>
      <c r="H39" s="4"/>
      <c r="I39" s="4"/>
    </row>
    <row r="40" spans="2:9" x14ac:dyDescent="0.25">
      <c r="B40" s="4"/>
      <c r="C40" s="4"/>
      <c r="D40" s="4"/>
      <c r="E40" s="4"/>
      <c r="F40" s="4"/>
      <c r="G40" s="4"/>
      <c r="H40" s="4"/>
      <c r="I40" s="4"/>
    </row>
    <row r="41" spans="2:9" x14ac:dyDescent="0.25">
      <c r="B41" s="4">
        <v>6</v>
      </c>
      <c r="C41" s="4" t="s">
        <v>7</v>
      </c>
      <c r="D41" s="4">
        <v>0.4973384175944317</v>
      </c>
      <c r="E41" s="4">
        <v>2.273292363380885</v>
      </c>
      <c r="F41" s="4">
        <v>1.2</v>
      </c>
      <c r="G41" s="4">
        <v>2.2976241050804429</v>
      </c>
      <c r="H41" s="4">
        <v>1.0934082815889727</v>
      </c>
      <c r="I41" s="4">
        <v>2.9844285309220382</v>
      </c>
    </row>
    <row r="42" spans="2:9" x14ac:dyDescent="0.25">
      <c r="B42" s="4"/>
      <c r="C42" s="4" t="s">
        <v>6</v>
      </c>
      <c r="D42" s="4">
        <v>0.35904398743254878</v>
      </c>
      <c r="E42" s="4">
        <v>1.5503464245930174</v>
      </c>
      <c r="F42" s="4">
        <v>1.2</v>
      </c>
      <c r="G42" s="4">
        <v>0.32823201501149185</v>
      </c>
      <c r="H42" s="4"/>
      <c r="I42" s="4"/>
    </row>
    <row r="43" spans="2:9" x14ac:dyDescent="0.25">
      <c r="B43" s="4"/>
      <c r="C43" s="4" t="s">
        <v>8</v>
      </c>
      <c r="D43" s="4">
        <v>7.1808797486509757E-2</v>
      </c>
      <c r="E43" s="4">
        <v>1.0629844958949604</v>
      </c>
      <c r="F43" s="4">
        <v>1.2</v>
      </c>
      <c r="G43" s="4">
        <v>0.32823201501149185</v>
      </c>
      <c r="H43" s="4"/>
      <c r="I43" s="4"/>
    </row>
    <row r="44" spans="2:9" x14ac:dyDescent="0.25">
      <c r="B44" s="4"/>
      <c r="C44" s="4" t="s">
        <v>35</v>
      </c>
      <c r="D44" s="4">
        <v>7.1808797486509757E-2</v>
      </c>
      <c r="E44" s="4">
        <v>1.0629844958949604</v>
      </c>
      <c r="F44" s="4">
        <v>1.2</v>
      </c>
      <c r="G44" s="4">
        <v>0.32823201501149185</v>
      </c>
      <c r="H44" s="4"/>
      <c r="I44" s="4"/>
    </row>
    <row r="45" spans="2:9" x14ac:dyDescent="0.25">
      <c r="B45" s="4"/>
      <c r="C45" s="4"/>
      <c r="D45" s="4"/>
      <c r="E45" s="4"/>
      <c r="F45" s="4"/>
      <c r="G45" s="4"/>
      <c r="H45" s="4"/>
      <c r="I45" s="4"/>
    </row>
    <row r="46" spans="2:9" x14ac:dyDescent="0.25">
      <c r="B46" s="4">
        <v>7</v>
      </c>
      <c r="C46" s="4" t="s">
        <v>7</v>
      </c>
      <c r="D46" s="4">
        <v>0.6001867754523591</v>
      </c>
      <c r="E46" s="4">
        <v>2.9178238133925518</v>
      </c>
      <c r="F46" s="4">
        <v>0.7</v>
      </c>
      <c r="G46" s="4">
        <v>1.9437025192951287</v>
      </c>
      <c r="H46" s="4">
        <v>0.99131178800198561</v>
      </c>
      <c r="I46" s="4">
        <v>2.694767117975116</v>
      </c>
    </row>
    <row r="47" spans="2:9" x14ac:dyDescent="0.25">
      <c r="B47" s="4"/>
      <c r="C47" s="4" t="s">
        <v>6</v>
      </c>
      <c r="D47" s="4">
        <v>0.28558087467688636</v>
      </c>
      <c r="E47" s="4">
        <v>1.1430867420052733</v>
      </c>
      <c r="F47" s="4">
        <v>0.7</v>
      </c>
      <c r="G47" s="4">
        <v>0.27767178847073265</v>
      </c>
      <c r="H47" s="4"/>
      <c r="I47" s="4"/>
    </row>
    <row r="48" spans="2:9" x14ac:dyDescent="0.25">
      <c r="B48" s="4"/>
      <c r="C48" s="4" t="s">
        <v>8</v>
      </c>
      <c r="D48" s="4">
        <v>5.7116174935377281E-2</v>
      </c>
      <c r="E48" s="4">
        <v>0.6204198594526914</v>
      </c>
      <c r="F48" s="4">
        <v>0.7</v>
      </c>
      <c r="G48" s="4">
        <v>0.27767178847073265</v>
      </c>
      <c r="H48" s="4"/>
      <c r="I48" s="4"/>
    </row>
    <row r="49" spans="2:9" x14ac:dyDescent="0.25">
      <c r="B49" s="4"/>
      <c r="C49" s="4" t="s">
        <v>35</v>
      </c>
      <c r="D49" s="4">
        <v>5.7116174935377281E-2</v>
      </c>
      <c r="E49" s="4">
        <v>0.6204198594526914</v>
      </c>
      <c r="F49" s="4">
        <v>0.7</v>
      </c>
      <c r="G49" s="4">
        <v>0.27767178847073265</v>
      </c>
      <c r="H49" s="4"/>
      <c r="I49" s="4"/>
    </row>
    <row r="50" spans="2:9" x14ac:dyDescent="0.25">
      <c r="B50" s="4"/>
      <c r="C50" s="4"/>
      <c r="D50" s="4"/>
      <c r="E50" s="4"/>
      <c r="F50" s="4"/>
      <c r="G50" s="4"/>
      <c r="H50" s="4"/>
      <c r="I50" s="4"/>
    </row>
    <row r="51" spans="2:9" x14ac:dyDescent="0.25">
      <c r="B51" s="4">
        <v>8</v>
      </c>
      <c r="C51" s="4" t="s">
        <v>7</v>
      </c>
      <c r="D51" s="4">
        <v>0.66131593605312522</v>
      </c>
      <c r="E51" s="4">
        <v>5.4091691228362508</v>
      </c>
      <c r="F51" s="4">
        <v>0.7</v>
      </c>
      <c r="G51" s="4">
        <v>2.7702332292669327</v>
      </c>
      <c r="H51" s="4">
        <v>0.90985682666393641</v>
      </c>
      <c r="I51" s="4">
        <v>2.4839668701012108</v>
      </c>
    </row>
    <row r="52" spans="2:9" x14ac:dyDescent="0.25">
      <c r="B52" s="4"/>
      <c r="C52" s="4" t="s">
        <v>6</v>
      </c>
      <c r="D52" s="4">
        <v>0.24191718853348201</v>
      </c>
      <c r="E52" s="4">
        <v>1.0015990351238118</v>
      </c>
      <c r="F52" s="4">
        <v>0.7</v>
      </c>
      <c r="G52" s="4">
        <v>0.39574760418099036</v>
      </c>
      <c r="H52" s="4"/>
      <c r="I52" s="4"/>
    </row>
    <row r="53" spans="2:9" x14ac:dyDescent="0.25">
      <c r="B53" s="4"/>
      <c r="C53" s="4" t="s">
        <v>8</v>
      </c>
      <c r="D53" s="4">
        <v>4.8383437706696411E-2</v>
      </c>
      <c r="E53" s="4">
        <v>0.64565599549617014</v>
      </c>
      <c r="F53" s="4">
        <v>0.7</v>
      </c>
      <c r="G53" s="4">
        <v>0.39574760418099036</v>
      </c>
      <c r="H53" s="4"/>
      <c r="I53" s="4"/>
    </row>
    <row r="54" spans="2:9" x14ac:dyDescent="0.25">
      <c r="B54" s="4"/>
      <c r="C54" s="4" t="s">
        <v>35</v>
      </c>
      <c r="D54" s="4">
        <v>4.8383437706696411E-2</v>
      </c>
      <c r="E54" s="4">
        <v>0.64565599549617014</v>
      </c>
      <c r="F54" s="4">
        <v>0.7</v>
      </c>
      <c r="G54" s="4">
        <v>0.39574760418099036</v>
      </c>
      <c r="H54" s="4"/>
      <c r="I5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activeCell="E17" sqref="E17"/>
    </sheetView>
  </sheetViews>
  <sheetFormatPr baseColWidth="10" defaultColWidth="9.140625" defaultRowHeight="15" x14ac:dyDescent="0.25"/>
  <cols>
    <col min="2" max="2" width="20" customWidth="1"/>
    <col min="3" max="3" width="19.42578125" customWidth="1"/>
    <col min="4" max="4" width="19.140625" customWidth="1"/>
    <col min="5" max="5" width="19" customWidth="1"/>
    <col min="6" max="6" width="19.7109375" customWidth="1"/>
    <col min="7" max="7" width="14.42578125" customWidth="1"/>
    <col min="8" max="8" width="42.7109375" customWidth="1"/>
  </cols>
  <sheetData>
    <row r="1" spans="1:8" s="3" customFormat="1" x14ac:dyDescent="0.25">
      <c r="A1" s="3" t="s">
        <v>53</v>
      </c>
      <c r="B1" s="3" t="s">
        <v>54</v>
      </c>
      <c r="C1" s="3" t="s">
        <v>55</v>
      </c>
      <c r="D1" s="3" t="s">
        <v>56</v>
      </c>
      <c r="E1" s="3" t="s">
        <v>58</v>
      </c>
      <c r="F1" s="3" t="s">
        <v>57</v>
      </c>
      <c r="H1" s="3" t="s">
        <v>59</v>
      </c>
    </row>
    <row r="2" spans="1:8" x14ac:dyDescent="0.25">
      <c r="A2">
        <v>5380</v>
      </c>
      <c r="B2">
        <v>75</v>
      </c>
      <c r="C2">
        <v>1.93</v>
      </c>
      <c r="D2">
        <v>6.8895102415812923</v>
      </c>
      <c r="E2">
        <v>2.46278</v>
      </c>
      <c r="F2">
        <v>11.737396187736785</v>
      </c>
      <c r="H2" s="4" t="s">
        <v>65</v>
      </c>
    </row>
    <row r="3" spans="1:8" x14ac:dyDescent="0.25">
      <c r="A3">
        <v>5335</v>
      </c>
      <c r="B3">
        <v>83</v>
      </c>
      <c r="C3">
        <v>2.0825900000000002</v>
      </c>
      <c r="D3">
        <v>8.025227359366605</v>
      </c>
      <c r="E3">
        <v>2.2106400000000002</v>
      </c>
      <c r="F3">
        <v>9.1215523188289058</v>
      </c>
    </row>
    <row r="4" spans="1:8" x14ac:dyDescent="0.25">
      <c r="A4">
        <v>5290</v>
      </c>
      <c r="B4">
        <v>84.5</v>
      </c>
      <c r="C4">
        <v>2.3930899999999999</v>
      </c>
      <c r="D4">
        <v>10.947268794597825</v>
      </c>
      <c r="E4">
        <v>2.4335599999999999</v>
      </c>
      <c r="F4">
        <v>11.399391764661337</v>
      </c>
    </row>
    <row r="5" spans="1:8" x14ac:dyDescent="0.25">
      <c r="A5">
        <v>5240</v>
      </c>
      <c r="B5">
        <v>97.5</v>
      </c>
      <c r="C5">
        <v>2.60365</v>
      </c>
      <c r="D5">
        <v>13.512970473371221</v>
      </c>
      <c r="E5">
        <v>2.36938</v>
      </c>
      <c r="F5">
        <v>10.690761956508853</v>
      </c>
    </row>
    <row r="6" spans="1:8" x14ac:dyDescent="0.25">
      <c r="A6">
        <v>5195</v>
      </c>
      <c r="B6">
        <v>92</v>
      </c>
      <c r="C6">
        <v>2.8414199999999998</v>
      </c>
      <c r="D6">
        <v>17.140087188494231</v>
      </c>
      <c r="E6">
        <v>2.4053399999999998</v>
      </c>
      <c r="F6">
        <v>11.082197588888214</v>
      </c>
    </row>
    <row r="7" spans="1:8" x14ac:dyDescent="0.25">
      <c r="A7">
        <v>5150</v>
      </c>
      <c r="B7">
        <v>110</v>
      </c>
      <c r="C7">
        <v>2.9428100000000001</v>
      </c>
      <c r="D7">
        <v>18.969074591099609</v>
      </c>
      <c r="E7">
        <v>1.70581</v>
      </c>
      <c r="F7">
        <v>5.5058435948188817</v>
      </c>
    </row>
    <row r="8" spans="1:8" x14ac:dyDescent="0.25">
      <c r="A8">
        <v>5120</v>
      </c>
      <c r="B8">
        <v>145.666</v>
      </c>
      <c r="C8">
        <v>2.86999</v>
      </c>
      <c r="D8">
        <v>17.636841830537172</v>
      </c>
      <c r="E8">
        <v>2.8005900000000001</v>
      </c>
      <c r="F8">
        <v>16.45435197544575</v>
      </c>
    </row>
    <row r="9" spans="1:8" x14ac:dyDescent="0.25">
      <c r="A9">
        <v>5090</v>
      </c>
      <c r="B9">
        <v>135</v>
      </c>
      <c r="C9">
        <v>2.4410599999999998</v>
      </c>
      <c r="D9">
        <v>11.485208613814516</v>
      </c>
      <c r="E9">
        <v>2.81717</v>
      </c>
      <c r="F9">
        <v>16.729439303467128</v>
      </c>
    </row>
    <row r="10" spans="1:8" x14ac:dyDescent="0.25">
      <c r="A10">
        <v>5065</v>
      </c>
      <c r="B10">
        <v>172</v>
      </c>
      <c r="C10">
        <v>2.3305199999999999</v>
      </c>
      <c r="D10">
        <v>10.283287452459216</v>
      </c>
      <c r="E10">
        <v>2.5637099999999999</v>
      </c>
      <c r="F10">
        <v>12.983898332921662</v>
      </c>
    </row>
    <row r="11" spans="1:8" x14ac:dyDescent="0.25">
      <c r="A11">
        <v>5040</v>
      </c>
      <c r="B11">
        <v>62</v>
      </c>
      <c r="C11">
        <v>1.96905</v>
      </c>
      <c r="D11">
        <v>7.1638675804260323</v>
      </c>
      <c r="E11">
        <v>1.63218</v>
      </c>
      <c r="F11">
        <v>5.1150133020679345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2"/>
  <sheetViews>
    <sheetView topLeftCell="A19" workbookViewId="0">
      <selection activeCell="K36" sqref="K36"/>
    </sheetView>
  </sheetViews>
  <sheetFormatPr baseColWidth="10" defaultColWidth="9.140625" defaultRowHeight="15" x14ac:dyDescent="0.25"/>
  <cols>
    <col min="3" max="6" width="8.85546875" customWidth="1"/>
    <col min="11" max="11" width="17.28515625" customWidth="1"/>
    <col min="12" max="12" width="18.28515625" customWidth="1"/>
  </cols>
  <sheetData>
    <row r="1" spans="1:12" x14ac:dyDescent="0.25">
      <c r="B1" s="2" t="s">
        <v>32</v>
      </c>
      <c r="C1" s="2"/>
      <c r="D1" s="2"/>
      <c r="E1" s="2"/>
      <c r="K1" s="3" t="s">
        <v>33</v>
      </c>
      <c r="L1" s="3" t="s">
        <v>34</v>
      </c>
    </row>
    <row r="2" spans="1:12" x14ac:dyDescent="0.25">
      <c r="A2" s="2"/>
      <c r="D2" s="3"/>
      <c r="E2" s="1" t="s">
        <v>42</v>
      </c>
      <c r="K2" s="3" t="s">
        <v>45</v>
      </c>
      <c r="L2" s="4"/>
    </row>
    <row r="3" spans="1:12" x14ac:dyDescent="0.25">
      <c r="A3">
        <v>0.1</v>
      </c>
      <c r="B3" s="4">
        <v>0.8</v>
      </c>
      <c r="C3" s="4">
        <v>0.05</v>
      </c>
      <c r="D3" s="4">
        <v>0.05</v>
      </c>
      <c r="E3" s="4"/>
      <c r="K3" s="4">
        <v>1</v>
      </c>
      <c r="L3" s="4">
        <v>2.0306309908905886</v>
      </c>
    </row>
    <row r="4" spans="1:12" x14ac:dyDescent="0.25">
      <c r="A4">
        <v>0.18</v>
      </c>
      <c r="B4" s="4">
        <v>0.64</v>
      </c>
      <c r="C4" s="4">
        <v>5.1428571428571448E-2</v>
      </c>
      <c r="D4" s="4">
        <v>5.1428571428571448E-2</v>
      </c>
      <c r="E4" s="4"/>
      <c r="K4" s="4">
        <v>1</v>
      </c>
      <c r="L4" s="4">
        <v>2.7946801744006429</v>
      </c>
    </row>
    <row r="5" spans="1:12" x14ac:dyDescent="0.25">
      <c r="A5">
        <v>0.37500000000000011</v>
      </c>
      <c r="B5" s="4">
        <v>0.44642857142857145</v>
      </c>
      <c r="C5" s="4">
        <v>8.9285714285714288E-2</v>
      </c>
      <c r="D5" s="4">
        <v>8.9285714285714288E-2</v>
      </c>
      <c r="E5" s="4"/>
      <c r="K5" s="4">
        <v>1.2</v>
      </c>
      <c r="L5" s="4">
        <v>3.1822062379837268</v>
      </c>
    </row>
    <row r="6" spans="1:12" x14ac:dyDescent="0.25">
      <c r="A6">
        <v>0.51227678571428581</v>
      </c>
      <c r="B6" s="4">
        <v>0.34837372448979587</v>
      </c>
      <c r="C6" s="4">
        <v>6.9674744897959162E-2</v>
      </c>
      <c r="D6" s="4">
        <v>6.9674744897959162E-2</v>
      </c>
      <c r="E6" s="4"/>
      <c r="K6" s="4">
        <v>1.68</v>
      </c>
      <c r="L6" s="4">
        <v>3.2171726183741756</v>
      </c>
    </row>
    <row r="7" spans="1:12" x14ac:dyDescent="0.25">
      <c r="A7">
        <v>0.65479823521205371</v>
      </c>
      <c r="B7" s="4">
        <v>0.24657268913424737</v>
      </c>
      <c r="C7" s="4">
        <v>4.9314537826849483E-2</v>
      </c>
      <c r="D7" s="4">
        <v>4.9314537826849483E-2</v>
      </c>
      <c r="E7" s="4"/>
      <c r="K7" s="4">
        <v>3.024</v>
      </c>
      <c r="L7" s="4">
        <v>3.1746722604192161</v>
      </c>
    </row>
    <row r="8" spans="1:12" x14ac:dyDescent="0.25">
      <c r="A8">
        <v>0.82833851812340853</v>
      </c>
      <c r="B8" s="4">
        <v>0.12261534419756526</v>
      </c>
      <c r="C8" s="4">
        <v>2.4523068839513055E-2</v>
      </c>
      <c r="D8" s="4">
        <v>2.4523068839513055E-2</v>
      </c>
      <c r="E8" s="4"/>
      <c r="K8" s="4">
        <v>3.6288</v>
      </c>
      <c r="L8" s="4">
        <v>2.9844285309220382</v>
      </c>
    </row>
    <row r="9" spans="1:12" x14ac:dyDescent="0.25">
      <c r="A9">
        <v>0</v>
      </c>
      <c r="B9" s="4">
        <v>0.05</v>
      </c>
      <c r="C9" s="4">
        <v>0</v>
      </c>
      <c r="D9" s="4">
        <v>0</v>
      </c>
      <c r="E9" s="4">
        <v>0.3</v>
      </c>
      <c r="F9">
        <v>0.25</v>
      </c>
      <c r="G9">
        <v>0.15</v>
      </c>
      <c r="H9">
        <v>0.15</v>
      </c>
      <c r="I9">
        <v>0.05</v>
      </c>
      <c r="J9">
        <v>0.05</v>
      </c>
      <c r="K9" s="4">
        <v>2.5401599999999998</v>
      </c>
      <c r="L9" s="4">
        <v>2.694767117975116</v>
      </c>
    </row>
    <row r="10" spans="1:12" x14ac:dyDescent="0.25">
      <c r="A10">
        <v>0</v>
      </c>
      <c r="B10" s="4">
        <v>3.7755102040816349E-2</v>
      </c>
      <c r="C10" s="4">
        <v>0</v>
      </c>
      <c r="D10" s="4">
        <v>0</v>
      </c>
      <c r="E10" s="4">
        <v>0.47142857142857142</v>
      </c>
      <c r="F10">
        <v>0.18877551020408173</v>
      </c>
      <c r="G10">
        <v>0.11326530612244902</v>
      </c>
      <c r="H10">
        <v>0.11326530612244902</v>
      </c>
      <c r="I10">
        <v>3.7755102040816349E-2</v>
      </c>
      <c r="J10">
        <v>3.7755102040816349E-2</v>
      </c>
      <c r="K10" s="4">
        <v>1.7781119999999997</v>
      </c>
      <c r="L10" s="4">
        <v>2.4839668701012108</v>
      </c>
    </row>
    <row r="14" spans="1:12" x14ac:dyDescent="0.25">
      <c r="A14" t="s">
        <v>41</v>
      </c>
    </row>
    <row r="16" spans="1:12" x14ac:dyDescent="0.25">
      <c r="A16" s="3" t="s">
        <v>36</v>
      </c>
      <c r="B16" s="3" t="s">
        <v>37</v>
      </c>
      <c r="C16" s="3" t="s">
        <v>0</v>
      </c>
      <c r="D16" s="3" t="s">
        <v>38</v>
      </c>
      <c r="E16" s="3" t="s">
        <v>5</v>
      </c>
      <c r="F16" s="3" t="s">
        <v>40</v>
      </c>
      <c r="G16" s="3" t="s">
        <v>39</v>
      </c>
      <c r="H16" s="3" t="s">
        <v>11</v>
      </c>
    </row>
    <row r="17" spans="1:11" x14ac:dyDescent="0.25">
      <c r="A17" s="4">
        <v>1</v>
      </c>
      <c r="B17" s="4" t="s">
        <v>6</v>
      </c>
      <c r="C17" s="4">
        <v>0.8</v>
      </c>
      <c r="D17" s="4" t="s">
        <v>44</v>
      </c>
      <c r="E17" s="4">
        <v>1</v>
      </c>
      <c r="F17" s="4" t="s">
        <v>44</v>
      </c>
      <c r="G17" s="4">
        <v>0.70834657770617138</v>
      </c>
      <c r="H17">
        <v>2.0306309908905886</v>
      </c>
      <c r="I17" s="4"/>
    </row>
    <row r="18" spans="1:11" x14ac:dyDescent="0.25">
      <c r="A18" s="4"/>
      <c r="B18" s="4" t="s">
        <v>7</v>
      </c>
      <c r="C18" s="4">
        <v>0.1</v>
      </c>
      <c r="D18" s="4" t="s">
        <v>44</v>
      </c>
      <c r="E18" s="4">
        <v>1</v>
      </c>
      <c r="F18" s="4" t="s">
        <v>44</v>
      </c>
      <c r="G18" s="4"/>
      <c r="I18" s="4"/>
    </row>
    <row r="19" spans="1:11" x14ac:dyDescent="0.25">
      <c r="A19" s="4"/>
      <c r="B19" s="4" t="s">
        <v>8</v>
      </c>
      <c r="C19" s="4">
        <v>0.05</v>
      </c>
      <c r="D19" s="4" t="s">
        <v>44</v>
      </c>
      <c r="E19" s="4">
        <v>1</v>
      </c>
      <c r="F19" s="4" t="s">
        <v>44</v>
      </c>
      <c r="G19" s="4"/>
      <c r="I19" s="4"/>
    </row>
    <row r="20" spans="1:11" x14ac:dyDescent="0.25">
      <c r="A20" s="4"/>
      <c r="B20" s="4" t="s">
        <v>35</v>
      </c>
      <c r="C20" s="4">
        <v>0.05</v>
      </c>
      <c r="D20" s="4" t="s">
        <v>44</v>
      </c>
      <c r="E20" s="4">
        <v>1</v>
      </c>
      <c r="F20" s="4" t="s">
        <v>44</v>
      </c>
      <c r="G20" s="4"/>
      <c r="I20" s="4"/>
    </row>
    <row r="21" spans="1:11" x14ac:dyDescent="0.25">
      <c r="A21" s="4"/>
      <c r="B21" s="4"/>
      <c r="C21" s="4"/>
      <c r="D21" s="4"/>
      <c r="E21" s="4"/>
      <c r="F21" s="4"/>
      <c r="G21" s="4"/>
      <c r="I21" s="4"/>
    </row>
    <row r="22" spans="1:11" x14ac:dyDescent="0.25">
      <c r="A22" s="4">
        <v>2</v>
      </c>
      <c r="B22" s="4" t="s">
        <v>6</v>
      </c>
      <c r="C22" s="4">
        <v>0.6399999999999999</v>
      </c>
      <c r="D22" s="4">
        <v>4</v>
      </c>
      <c r="E22" s="4">
        <v>1</v>
      </c>
      <c r="F22" s="4">
        <v>2.2500000000000009</v>
      </c>
      <c r="G22" s="4">
        <v>0.94009038525627464</v>
      </c>
      <c r="H22">
        <v>2.5602128133630178</v>
      </c>
      <c r="I22" s="4"/>
    </row>
    <row r="23" spans="1:11" x14ac:dyDescent="0.25">
      <c r="A23" s="4"/>
      <c r="B23" s="4" t="s">
        <v>7</v>
      </c>
      <c r="C23" s="4">
        <v>0.25714285714285717</v>
      </c>
      <c r="D23" s="4">
        <v>2.8571428571428577</v>
      </c>
      <c r="E23" s="4">
        <v>1</v>
      </c>
      <c r="F23" s="4">
        <v>0.32142857142857156</v>
      </c>
      <c r="G23" s="4"/>
      <c r="I23" s="4"/>
    </row>
    <row r="24" spans="1:11" x14ac:dyDescent="0.25">
      <c r="A24" s="4"/>
      <c r="B24" s="4" t="s">
        <v>8</v>
      </c>
      <c r="C24" s="4">
        <v>5.1428571428571448E-2</v>
      </c>
      <c r="D24" s="4">
        <v>1.0827067669172936</v>
      </c>
      <c r="E24" s="4">
        <v>1</v>
      </c>
      <c r="F24" s="4">
        <v>0.32142857142857156</v>
      </c>
      <c r="G24" s="4"/>
      <c r="I24" s="4"/>
    </row>
    <row r="25" spans="1:11" x14ac:dyDescent="0.25">
      <c r="A25" s="4"/>
      <c r="B25" s="4" t="s">
        <v>35</v>
      </c>
      <c r="C25" s="4">
        <v>5.1428571428571448E-2</v>
      </c>
      <c r="D25" s="4">
        <v>1.0827067669172936</v>
      </c>
      <c r="E25" s="4">
        <v>1</v>
      </c>
      <c r="F25" s="4">
        <v>0.32142857142857156</v>
      </c>
      <c r="G25" s="4"/>
      <c r="I25" s="4"/>
    </row>
    <row r="26" spans="1:11" x14ac:dyDescent="0.25">
      <c r="A26" s="4"/>
      <c r="B26" s="4"/>
      <c r="C26" s="4"/>
      <c r="D26" s="4"/>
      <c r="E26" s="4"/>
      <c r="F26" s="4"/>
      <c r="G26" s="4"/>
      <c r="I26" s="4"/>
    </row>
    <row r="27" spans="1:11" x14ac:dyDescent="0.25">
      <c r="A27" s="4">
        <v>3</v>
      </c>
      <c r="B27" s="4" t="s">
        <v>7</v>
      </c>
      <c r="C27" s="4">
        <v>0.37500000000000011</v>
      </c>
      <c r="D27" s="4">
        <v>2.2272727272727275</v>
      </c>
      <c r="E27" s="4">
        <v>1.2</v>
      </c>
      <c r="F27" s="4">
        <v>3.712121212121211</v>
      </c>
      <c r="G27" s="4">
        <v>1.1592580132666153</v>
      </c>
      <c r="H27">
        <v>3.187567265827596</v>
      </c>
      <c r="I27" s="4"/>
      <c r="K27" t="s">
        <v>43</v>
      </c>
    </row>
    <row r="28" spans="1:11" x14ac:dyDescent="0.25">
      <c r="A28" s="4"/>
      <c r="B28" s="4" t="s">
        <v>6</v>
      </c>
      <c r="C28" s="4">
        <v>0.44642857142857145</v>
      </c>
      <c r="D28" s="4">
        <v>1.793686224489796</v>
      </c>
      <c r="E28" s="4">
        <v>1.2</v>
      </c>
      <c r="F28" s="4">
        <v>0.53030303030303017</v>
      </c>
      <c r="G28" s="4"/>
      <c r="I28" s="4"/>
    </row>
    <row r="29" spans="1:11" x14ac:dyDescent="0.25">
      <c r="A29" s="4"/>
      <c r="B29" s="4" t="s">
        <v>8</v>
      </c>
      <c r="C29" s="4">
        <v>8.9285714285714288E-2</v>
      </c>
      <c r="D29" s="4">
        <v>2.1766169154228847</v>
      </c>
      <c r="E29" s="4">
        <v>1.2</v>
      </c>
      <c r="F29" s="4">
        <v>0.53030303030303017</v>
      </c>
      <c r="G29" s="4"/>
      <c r="I29" s="4"/>
    </row>
    <row r="30" spans="1:11" x14ac:dyDescent="0.25">
      <c r="A30" s="4"/>
      <c r="B30" s="4" t="s">
        <v>35</v>
      </c>
      <c r="C30" s="4">
        <v>8.9285714285714288E-2</v>
      </c>
      <c r="D30" s="4">
        <v>2.1766169154228847</v>
      </c>
      <c r="E30" s="4">
        <v>1.2</v>
      </c>
      <c r="F30" s="4">
        <v>0.53030303030303017</v>
      </c>
      <c r="G30" s="4"/>
      <c r="I30" s="4"/>
    </row>
    <row r="31" spans="1:11" x14ac:dyDescent="0.25">
      <c r="A31" s="4"/>
      <c r="B31" s="4"/>
      <c r="C31" s="4"/>
      <c r="D31" s="4"/>
      <c r="E31" s="4"/>
      <c r="F31" s="4"/>
      <c r="G31" s="4"/>
      <c r="I31" s="4"/>
    </row>
    <row r="32" spans="1:11" x14ac:dyDescent="0.25">
      <c r="A32" s="4">
        <v>4</v>
      </c>
      <c r="B32" s="4" t="s">
        <v>7</v>
      </c>
      <c r="C32" s="4">
        <v>0.51227678571428581</v>
      </c>
      <c r="D32" s="4">
        <v>2.6121951219512196</v>
      </c>
      <c r="E32" s="4">
        <v>1.4</v>
      </c>
      <c r="F32" s="4">
        <v>2.4869918699186986</v>
      </c>
      <c r="G32" s="4">
        <v>1.081225384047914</v>
      </c>
      <c r="H32">
        <v>2.9482901261323704</v>
      </c>
      <c r="I32" s="4"/>
    </row>
    <row r="33" spans="1:9" x14ac:dyDescent="0.25">
      <c r="A33" s="4"/>
      <c r="B33" s="4" t="s">
        <v>6</v>
      </c>
      <c r="C33" s="4">
        <v>0.34837372448979587</v>
      </c>
      <c r="D33" s="4">
        <v>1.6039700374531833</v>
      </c>
      <c r="E33" s="4">
        <v>1.4</v>
      </c>
      <c r="F33" s="4">
        <v>0.35528455284552835</v>
      </c>
      <c r="G33" s="4"/>
      <c r="I33" s="4"/>
    </row>
    <row r="34" spans="1:9" x14ac:dyDescent="0.25">
      <c r="A34" s="4"/>
      <c r="B34" s="4" t="s">
        <v>8</v>
      </c>
      <c r="C34" s="4">
        <v>6.9674744897959162E-2</v>
      </c>
      <c r="D34" s="4">
        <v>1.1669209809264303</v>
      </c>
      <c r="E34" s="4">
        <v>1.4</v>
      </c>
      <c r="F34" s="4">
        <v>0.35528455284552835</v>
      </c>
      <c r="G34" s="4"/>
      <c r="I34" s="4"/>
    </row>
    <row r="35" spans="1:9" x14ac:dyDescent="0.25">
      <c r="A35" s="4"/>
      <c r="B35" s="4" t="s">
        <v>35</v>
      </c>
      <c r="C35" s="4">
        <v>6.9674744897959162E-2</v>
      </c>
      <c r="D35" s="4">
        <v>1.1669209809264303</v>
      </c>
      <c r="E35" s="4">
        <v>1.4</v>
      </c>
      <c r="F35" s="4">
        <v>0.35528455284552835</v>
      </c>
      <c r="G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I36" s="4"/>
    </row>
    <row r="37" spans="1:9" x14ac:dyDescent="0.25">
      <c r="A37" s="4">
        <v>5</v>
      </c>
      <c r="B37" s="4" t="s">
        <v>7</v>
      </c>
      <c r="C37" s="4">
        <v>0.65479823521205371</v>
      </c>
      <c r="D37" s="4">
        <v>3.2160686427457099</v>
      </c>
      <c r="E37" s="4">
        <v>1.8</v>
      </c>
      <c r="F37" s="4">
        <v>1.695472760086874</v>
      </c>
      <c r="G37" s="4">
        <v>0.9193138187615999</v>
      </c>
      <c r="H37">
        <v>2.5075691525569601</v>
      </c>
      <c r="I37" s="4"/>
    </row>
    <row r="38" spans="1:9" x14ac:dyDescent="0.25">
      <c r="A38" s="4"/>
      <c r="B38" s="4" t="s">
        <v>6</v>
      </c>
      <c r="C38" s="4">
        <v>0.24657268913424737</v>
      </c>
      <c r="D38" s="4">
        <v>1.5797551125990525</v>
      </c>
      <c r="E38" s="4">
        <v>1.8</v>
      </c>
      <c r="F38" s="4">
        <v>0.24221039429812485</v>
      </c>
      <c r="G38" s="4"/>
      <c r="I38" s="4"/>
    </row>
    <row r="39" spans="1:9" x14ac:dyDescent="0.25">
      <c r="A39" s="4"/>
      <c r="B39" s="4" t="s">
        <v>8</v>
      </c>
      <c r="C39" s="4">
        <v>4.9314537826849483E-2</v>
      </c>
      <c r="D39" s="4">
        <v>1.3253080734726552</v>
      </c>
      <c r="E39" s="4">
        <v>1.8</v>
      </c>
      <c r="F39" s="4">
        <v>0.24221039429812485</v>
      </c>
      <c r="G39" s="4"/>
      <c r="I39" s="4"/>
    </row>
    <row r="40" spans="1:9" x14ac:dyDescent="0.25">
      <c r="A40" s="4"/>
      <c r="B40" s="4" t="s">
        <v>35</v>
      </c>
      <c r="C40" s="4">
        <v>4.9314537826849483E-2</v>
      </c>
      <c r="D40" s="4">
        <v>1.3253080734726552</v>
      </c>
      <c r="E40" s="4">
        <v>1.8</v>
      </c>
      <c r="F40" s="4">
        <v>0.24221039429812485</v>
      </c>
      <c r="G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I41" s="4"/>
    </row>
    <row r="42" spans="1:9" x14ac:dyDescent="0.25">
      <c r="A42" s="4">
        <v>6</v>
      </c>
      <c r="B42" s="4" t="s">
        <v>7</v>
      </c>
      <c r="C42" s="4">
        <v>0.82833851812340853</v>
      </c>
      <c r="D42" s="4">
        <v>3.3412240256780557</v>
      </c>
      <c r="E42" s="4">
        <v>1.2</v>
      </c>
      <c r="F42" s="4">
        <v>0.69242158245756524</v>
      </c>
      <c r="G42" s="4">
        <v>0.59520698324088706</v>
      </c>
      <c r="H42">
        <v>1.8134062508206448</v>
      </c>
      <c r="I42" s="4"/>
    </row>
    <row r="43" spans="1:9" x14ac:dyDescent="0.25">
      <c r="A43" s="4"/>
      <c r="B43" s="4" t="s">
        <v>6</v>
      </c>
      <c r="C43" s="4">
        <v>0.12261534419756526</v>
      </c>
      <c r="D43" s="4">
        <v>0.75106020932380191</v>
      </c>
      <c r="E43" s="4">
        <v>1.2</v>
      </c>
      <c r="F43" s="4">
        <v>9.8917368922509324E-2</v>
      </c>
      <c r="G43" s="4"/>
      <c r="I43" s="4"/>
    </row>
    <row r="44" spans="1:9" x14ac:dyDescent="0.25">
      <c r="A44" s="4"/>
      <c r="B44" s="4" t="s">
        <v>8</v>
      </c>
      <c r="C44" s="4">
        <v>2.4523068839513055E-2</v>
      </c>
      <c r="D44" s="4">
        <v>0.62230847543818935</v>
      </c>
      <c r="E44" s="4">
        <v>1.2</v>
      </c>
      <c r="F44" s="4">
        <v>9.8917368922509324E-2</v>
      </c>
      <c r="G44" s="4"/>
      <c r="I44" s="4"/>
    </row>
    <row r="45" spans="1:9" x14ac:dyDescent="0.25">
      <c r="A45" s="4"/>
      <c r="B45" s="4" t="s">
        <v>35</v>
      </c>
      <c r="C45" s="4">
        <v>2.4523068839513055E-2</v>
      </c>
      <c r="D45" s="4">
        <v>0.62230847543818935</v>
      </c>
      <c r="E45" s="4">
        <v>1.2</v>
      </c>
      <c r="F45" s="4">
        <v>9.8917368922509324E-2</v>
      </c>
      <c r="G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I46" s="4"/>
    </row>
    <row r="47" spans="1:9" x14ac:dyDescent="0.25">
      <c r="A47" s="4">
        <v>7</v>
      </c>
      <c r="B47" s="4" t="s">
        <v>7</v>
      </c>
      <c r="C47" s="4">
        <v>0</v>
      </c>
      <c r="D47" s="4">
        <v>0</v>
      </c>
      <c r="E47" s="4">
        <v>0.7</v>
      </c>
      <c r="F47" s="4">
        <v>0</v>
      </c>
      <c r="G47" s="4">
        <v>0.87751325298969984</v>
      </c>
      <c r="H47">
        <v>2.4049118569991559</v>
      </c>
      <c r="I47" s="4"/>
    </row>
    <row r="48" spans="1:9" x14ac:dyDescent="0.25">
      <c r="A48" s="4"/>
      <c r="B48" s="4" t="s">
        <v>6</v>
      </c>
      <c r="C48" s="4">
        <v>0.05</v>
      </c>
      <c r="D48" s="4">
        <v>1.3842547292139291</v>
      </c>
      <c r="E48" s="4">
        <v>0.7</v>
      </c>
      <c r="F48" s="4">
        <v>0</v>
      </c>
      <c r="G48" s="4"/>
      <c r="I48" s="4"/>
    </row>
    <row r="49" spans="1:9" x14ac:dyDescent="0.25">
      <c r="A49" s="4"/>
      <c r="B49" s="4" t="s">
        <v>8</v>
      </c>
      <c r="C49" s="4">
        <v>0</v>
      </c>
      <c r="D49" s="4">
        <v>5.9161712524878443</v>
      </c>
      <c r="E49" s="4">
        <v>0.7</v>
      </c>
      <c r="F49" s="4">
        <v>0</v>
      </c>
      <c r="G49" s="4"/>
      <c r="I49" s="4"/>
    </row>
    <row r="50" spans="1:9" x14ac:dyDescent="0.25">
      <c r="A50" s="4"/>
      <c r="B50" s="4" t="s">
        <v>35</v>
      </c>
      <c r="C50" s="4">
        <v>0</v>
      </c>
      <c r="D50" s="4">
        <v>5.9161712524878443</v>
      </c>
      <c r="E50" s="4">
        <v>0.7</v>
      </c>
      <c r="F50" s="4">
        <v>0</v>
      </c>
      <c r="G50" s="4"/>
      <c r="I50" s="4"/>
    </row>
    <row r="51" spans="1:9" x14ac:dyDescent="0.25">
      <c r="A51" s="4"/>
      <c r="B51" s="4" t="s">
        <v>46</v>
      </c>
      <c r="C51" s="4">
        <v>0.3</v>
      </c>
      <c r="D51" s="4"/>
      <c r="E51" s="4"/>
      <c r="F51" s="4"/>
      <c r="G51" s="4"/>
      <c r="I51" s="4"/>
    </row>
    <row r="52" spans="1:9" x14ac:dyDescent="0.25">
      <c r="B52" s="4" t="s">
        <v>47</v>
      </c>
      <c r="C52" s="4">
        <v>0.25</v>
      </c>
      <c r="D52" s="4"/>
      <c r="E52" s="4"/>
      <c r="F52" s="4"/>
      <c r="G52" s="4"/>
      <c r="I52" s="4"/>
    </row>
    <row r="53" spans="1:9" x14ac:dyDescent="0.25">
      <c r="A53" s="4"/>
      <c r="B53" s="4" t="s">
        <v>48</v>
      </c>
      <c r="C53" s="4">
        <v>0.15</v>
      </c>
      <c r="D53" s="4"/>
      <c r="E53" s="4"/>
      <c r="F53" s="4"/>
      <c r="G53" s="4"/>
      <c r="I53" s="4"/>
    </row>
    <row r="54" spans="1:9" x14ac:dyDescent="0.25">
      <c r="A54" s="4"/>
      <c r="B54" s="4" t="s">
        <v>49</v>
      </c>
      <c r="C54" s="4">
        <v>0.15</v>
      </c>
      <c r="D54" s="4"/>
      <c r="E54" s="4"/>
      <c r="F54" s="4"/>
      <c r="G54" s="4"/>
      <c r="I54" s="4"/>
    </row>
    <row r="55" spans="1:9" x14ac:dyDescent="0.25">
      <c r="A55" s="4"/>
      <c r="B55" s="4" t="s">
        <v>50</v>
      </c>
      <c r="C55" s="4">
        <v>0.05</v>
      </c>
      <c r="D55" s="4"/>
      <c r="E55" s="4"/>
      <c r="F55" s="4"/>
      <c r="G55" s="4"/>
      <c r="I55" s="4"/>
    </row>
    <row r="56" spans="1:9" x14ac:dyDescent="0.25">
      <c r="B56" s="4" t="s">
        <v>51</v>
      </c>
      <c r="C56" s="4">
        <v>0.05</v>
      </c>
      <c r="D56" s="4"/>
      <c r="E56" s="4"/>
      <c r="F56" s="4"/>
      <c r="G56" s="4"/>
      <c r="I56" s="4"/>
    </row>
    <row r="57" spans="1:9" x14ac:dyDescent="0.25">
      <c r="B57" s="4"/>
      <c r="C57" s="4"/>
      <c r="D57" s="4"/>
      <c r="E57" s="4"/>
      <c r="F57" s="4"/>
      <c r="G57" s="4"/>
      <c r="I57" s="4"/>
    </row>
    <row r="58" spans="1:9" x14ac:dyDescent="0.25">
      <c r="A58" s="4">
        <v>8</v>
      </c>
      <c r="B58" s="4" t="s">
        <v>46</v>
      </c>
      <c r="C58" s="4">
        <v>0.47142857142857142</v>
      </c>
      <c r="D58" s="4">
        <v>1.925</v>
      </c>
      <c r="E58" s="4">
        <v>0.7</v>
      </c>
      <c r="F58" s="4">
        <v>2.1583333333333341</v>
      </c>
      <c r="G58" s="4">
        <v>1.5337521631808417</v>
      </c>
      <c r="H58">
        <v>4.6355375250618325</v>
      </c>
      <c r="I58" s="4"/>
    </row>
    <row r="59" spans="1:9" x14ac:dyDescent="0.25">
      <c r="B59" s="4" t="s">
        <v>6</v>
      </c>
      <c r="C59" s="4">
        <v>3.7755102040816349E-2</v>
      </c>
      <c r="D59" s="4">
        <v>0.56923076923076943</v>
      </c>
      <c r="E59" s="4">
        <v>0.7</v>
      </c>
      <c r="F59" s="4">
        <v>0.15416666666666673</v>
      </c>
      <c r="G59" s="4"/>
      <c r="I59" s="4"/>
    </row>
    <row r="60" spans="1:9" x14ac:dyDescent="0.25">
      <c r="B60" s="4" t="s">
        <v>47</v>
      </c>
      <c r="C60" s="4">
        <v>0.18877551020408173</v>
      </c>
      <c r="D60" s="4">
        <v>0.82222222222222263</v>
      </c>
      <c r="E60" s="4">
        <v>0.7</v>
      </c>
      <c r="F60" s="4">
        <v>0.15416666666666673</v>
      </c>
      <c r="G60" s="4"/>
      <c r="I60" s="4"/>
    </row>
    <row r="61" spans="1:9" x14ac:dyDescent="0.25">
      <c r="B61" s="4" t="s">
        <v>48</v>
      </c>
      <c r="C61" s="4">
        <v>0.11326530612244902</v>
      </c>
      <c r="D61" s="4">
        <v>0.67272727272727295</v>
      </c>
      <c r="E61" s="4">
        <v>0.7</v>
      </c>
      <c r="F61" s="4">
        <v>0.15416666666666673</v>
      </c>
      <c r="G61" s="4"/>
      <c r="I61" s="4"/>
    </row>
    <row r="62" spans="1:9" x14ac:dyDescent="0.25">
      <c r="B62" s="4" t="s">
        <v>49</v>
      </c>
      <c r="C62" s="4">
        <v>0.11326530612244902</v>
      </c>
      <c r="D62" s="4">
        <v>0.67272727272727295</v>
      </c>
      <c r="E62" s="4">
        <v>0.7</v>
      </c>
      <c r="F62" s="4">
        <v>0.15416666666666673</v>
      </c>
      <c r="G62" s="4"/>
      <c r="I62" s="4"/>
    </row>
    <row r="63" spans="1:9" x14ac:dyDescent="0.25">
      <c r="B63" s="4" t="s">
        <v>50</v>
      </c>
      <c r="C63" s="4">
        <v>3.7755102040816349E-2</v>
      </c>
      <c r="D63" s="4">
        <v>0.56923076923076943</v>
      </c>
      <c r="E63" s="4">
        <v>0.7</v>
      </c>
      <c r="F63" s="4">
        <v>0.15416666666666673</v>
      </c>
      <c r="G63" s="4"/>
      <c r="I63" s="4"/>
    </row>
    <row r="64" spans="1:9" x14ac:dyDescent="0.25">
      <c r="B64" s="4" t="s">
        <v>51</v>
      </c>
      <c r="C64" s="4">
        <v>3.7755102040816349E-2</v>
      </c>
      <c r="D64" s="4">
        <v>0.56923076923076943</v>
      </c>
      <c r="E64" s="4">
        <v>0.7</v>
      </c>
      <c r="F64" s="4">
        <v>0.15416666666666673</v>
      </c>
      <c r="G64" s="4"/>
      <c r="I64" s="4"/>
    </row>
    <row r="65" spans="2:9" x14ac:dyDescent="0.25">
      <c r="G65" s="4"/>
      <c r="I65" s="4"/>
    </row>
    <row r="66" spans="2:9" x14ac:dyDescent="0.25">
      <c r="G66" s="4"/>
      <c r="I66" s="4"/>
    </row>
    <row r="67" spans="2:9" x14ac:dyDescent="0.25">
      <c r="G67" s="4"/>
      <c r="I67" s="4"/>
    </row>
    <row r="68" spans="2:9" x14ac:dyDescent="0.25">
      <c r="G68" s="4"/>
      <c r="I68" s="4"/>
    </row>
    <row r="69" spans="2:9" x14ac:dyDescent="0.25">
      <c r="G69" s="4"/>
      <c r="I69" s="4"/>
    </row>
    <row r="70" spans="2:9" x14ac:dyDescent="0.25">
      <c r="G70" s="4"/>
      <c r="I70" s="4"/>
    </row>
    <row r="71" spans="2:9" x14ac:dyDescent="0.25">
      <c r="G71" s="4"/>
      <c r="I71" s="4"/>
    </row>
    <row r="72" spans="2:9" x14ac:dyDescent="0.25">
      <c r="B72" s="4"/>
      <c r="C72" s="4"/>
      <c r="D72" s="4"/>
      <c r="E72" s="4"/>
      <c r="F72" s="4"/>
      <c r="G72" s="4"/>
      <c r="H72" s="4"/>
      <c r="I7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5"/>
  <sheetViews>
    <sheetView topLeftCell="A16" workbookViewId="0">
      <selection activeCell="I57" sqref="I57"/>
    </sheetView>
  </sheetViews>
  <sheetFormatPr baseColWidth="10" defaultColWidth="9.140625" defaultRowHeight="15" x14ac:dyDescent="0.25"/>
  <cols>
    <col min="5" max="5" width="9.7109375" customWidth="1"/>
    <col min="6" max="6" width="16.85546875" customWidth="1"/>
    <col min="7" max="7" width="17.7109375" customWidth="1"/>
    <col min="8" max="8" width="26.5703125" customWidth="1"/>
  </cols>
  <sheetData>
    <row r="1" spans="1:10" x14ac:dyDescent="0.25">
      <c r="B1" s="2" t="s">
        <v>32</v>
      </c>
      <c r="C1" s="2"/>
      <c r="D1" s="2"/>
      <c r="E1" s="2"/>
      <c r="F1" s="2" t="s">
        <v>33</v>
      </c>
      <c r="G1" s="2" t="s">
        <v>34</v>
      </c>
    </row>
    <row r="2" spans="1:10" x14ac:dyDescent="0.25">
      <c r="C2" t="s">
        <v>42</v>
      </c>
      <c r="F2" s="2" t="s">
        <v>45</v>
      </c>
    </row>
    <row r="3" spans="1:10" x14ac:dyDescent="0.25">
      <c r="B3" s="4">
        <v>0.1</v>
      </c>
      <c r="C3" s="4">
        <v>0.8</v>
      </c>
      <c r="D3" s="4">
        <v>0.05</v>
      </c>
      <c r="E3" s="4">
        <v>0.05</v>
      </c>
      <c r="F3" s="4">
        <v>1</v>
      </c>
      <c r="G3" s="4">
        <v>2.0306309908905886</v>
      </c>
    </row>
    <row r="4" spans="1:10" x14ac:dyDescent="0.25">
      <c r="B4" s="4">
        <v>0.18</v>
      </c>
      <c r="C4" s="4">
        <v>0.64</v>
      </c>
      <c r="D4" s="4">
        <v>5.1428571428571448E-2</v>
      </c>
      <c r="E4" s="4">
        <v>5.1428571428571448E-2</v>
      </c>
      <c r="F4" s="4">
        <v>1</v>
      </c>
      <c r="G4" s="4">
        <v>2.5602128133630178</v>
      </c>
    </row>
    <row r="5" spans="1:10" x14ac:dyDescent="0.25">
      <c r="B5" s="4">
        <v>0.37500000000000011</v>
      </c>
      <c r="C5" s="4">
        <v>0.44642857142857145</v>
      </c>
      <c r="D5" s="4">
        <v>8.9285714285714288E-2</v>
      </c>
      <c r="E5" s="4">
        <v>8.9285714285714288E-2</v>
      </c>
      <c r="F5" s="4">
        <v>1.2</v>
      </c>
      <c r="G5" s="4">
        <v>3.187567265827596</v>
      </c>
    </row>
    <row r="6" spans="1:10" x14ac:dyDescent="0.25">
      <c r="B6" s="4">
        <v>0.51227678571428581</v>
      </c>
      <c r="C6" s="4">
        <v>0.34837372448979587</v>
      </c>
      <c r="D6" s="4">
        <v>6.9674744897959162E-2</v>
      </c>
      <c r="E6" s="4">
        <v>6.9674744897959162E-2</v>
      </c>
      <c r="F6" s="4">
        <v>1.68</v>
      </c>
      <c r="G6" s="4">
        <v>2.9482901261323704</v>
      </c>
    </row>
    <row r="7" spans="1:10" x14ac:dyDescent="0.25">
      <c r="B7" s="4">
        <v>0.65479823521205371</v>
      </c>
      <c r="C7" s="4">
        <v>0.24657268913424737</v>
      </c>
      <c r="D7" s="4">
        <v>4.9314537826849483E-2</v>
      </c>
      <c r="E7" s="4">
        <v>4.9314537826849483E-2</v>
      </c>
      <c r="F7" s="4">
        <v>3.024</v>
      </c>
      <c r="G7" s="4">
        <v>2.5075691525569601</v>
      </c>
    </row>
    <row r="8" spans="1:10" x14ac:dyDescent="0.25">
      <c r="B8" s="4">
        <v>0.80894448998982904</v>
      </c>
      <c r="C8" s="4">
        <v>0.1364682214358364</v>
      </c>
      <c r="D8" s="4">
        <v>2.7293644287167282E-2</v>
      </c>
      <c r="E8" s="4">
        <v>2.7293644287167282E-2</v>
      </c>
      <c r="F8" s="4">
        <v>6.048</v>
      </c>
      <c r="G8" s="4">
        <v>1.8962714757771961</v>
      </c>
    </row>
    <row r="9" spans="1:10" x14ac:dyDescent="0.25">
      <c r="B9" s="4">
        <v>0.97755660360641095</v>
      </c>
      <c r="C9" s="4">
        <v>1.6030997423992051E-2</v>
      </c>
      <c r="D9" s="4">
        <v>3.2061994847984105E-3</v>
      </c>
      <c r="E9" s="4">
        <v>3.2061994847984105E-3</v>
      </c>
      <c r="F9" s="4">
        <v>12.096</v>
      </c>
      <c r="G9" s="4">
        <v>1.1334586831180955</v>
      </c>
    </row>
    <row r="10" spans="1:10" x14ac:dyDescent="0.25">
      <c r="B10" s="4">
        <v>0.99949629395832018</v>
      </c>
      <c r="C10" s="4">
        <v>0</v>
      </c>
      <c r="D10" s="4">
        <v>0</v>
      </c>
      <c r="E10" s="4">
        <v>0</v>
      </c>
      <c r="F10" s="4">
        <v>24.192</v>
      </c>
      <c r="G10" s="4">
        <v>1.0047407890428171</v>
      </c>
    </row>
    <row r="13" spans="1:10" x14ac:dyDescent="0.25">
      <c r="A13" t="s">
        <v>41</v>
      </c>
    </row>
    <row r="15" spans="1:10" x14ac:dyDescent="0.25">
      <c r="C15" s="3" t="s">
        <v>36</v>
      </c>
      <c r="D15" s="3" t="s">
        <v>37</v>
      </c>
      <c r="E15" s="3" t="s">
        <v>0</v>
      </c>
      <c r="F15" s="3" t="s">
        <v>38</v>
      </c>
      <c r="G15" s="3" t="s">
        <v>5</v>
      </c>
      <c r="H15" s="3" t="s">
        <v>40</v>
      </c>
      <c r="I15" s="3" t="s">
        <v>39</v>
      </c>
      <c r="J15" s="3" t="s">
        <v>11</v>
      </c>
    </row>
    <row r="16" spans="1:10" x14ac:dyDescent="0.25">
      <c r="C16" s="4">
        <v>1</v>
      </c>
      <c r="D16" s="4" t="s">
        <v>6</v>
      </c>
      <c r="E16" s="4">
        <v>0.8</v>
      </c>
      <c r="F16" s="4" t="s">
        <v>44</v>
      </c>
      <c r="G16" s="4">
        <v>1</v>
      </c>
      <c r="H16" s="4" t="s">
        <v>44</v>
      </c>
      <c r="I16">
        <v>0.70834657770617138</v>
      </c>
      <c r="J16">
        <v>2.0306309908905886</v>
      </c>
    </row>
    <row r="17" spans="3:12" x14ac:dyDescent="0.25">
      <c r="C17" s="4"/>
      <c r="D17" s="4" t="s">
        <v>7</v>
      </c>
      <c r="E17" s="4">
        <v>0.1</v>
      </c>
      <c r="F17" s="4" t="s">
        <v>44</v>
      </c>
      <c r="G17" s="4">
        <v>1</v>
      </c>
      <c r="H17" s="4" t="s">
        <v>44</v>
      </c>
    </row>
    <row r="18" spans="3:12" x14ac:dyDescent="0.25">
      <c r="C18" s="4"/>
      <c r="D18" s="4" t="s">
        <v>8</v>
      </c>
      <c r="E18" s="4">
        <v>0.05</v>
      </c>
      <c r="F18" s="4" t="s">
        <v>44</v>
      </c>
      <c r="G18" s="4">
        <v>1</v>
      </c>
      <c r="H18" s="4" t="s">
        <v>44</v>
      </c>
    </row>
    <row r="19" spans="3:12" x14ac:dyDescent="0.25">
      <c r="C19" s="4"/>
      <c r="D19" s="4" t="s">
        <v>35</v>
      </c>
      <c r="E19" s="4">
        <v>0.05</v>
      </c>
      <c r="F19" s="4" t="s">
        <v>44</v>
      </c>
      <c r="G19" s="4">
        <v>1</v>
      </c>
      <c r="H19" s="4" t="s">
        <v>44</v>
      </c>
    </row>
    <row r="20" spans="3:12" x14ac:dyDescent="0.25">
      <c r="C20" s="4"/>
      <c r="D20" s="4"/>
      <c r="E20" s="4"/>
      <c r="F20" s="4"/>
      <c r="G20" s="4"/>
      <c r="H20" s="4"/>
    </row>
    <row r="21" spans="3:12" x14ac:dyDescent="0.25">
      <c r="C21" s="4">
        <v>2</v>
      </c>
      <c r="D21" s="4" t="s">
        <v>6</v>
      </c>
      <c r="E21" s="4">
        <v>0.6399999999999999</v>
      </c>
      <c r="F21" s="4">
        <v>4</v>
      </c>
      <c r="G21" s="4">
        <v>1</v>
      </c>
      <c r="H21" s="4">
        <v>2.2500000000000009</v>
      </c>
      <c r="I21">
        <v>0.94009038525627464</v>
      </c>
      <c r="J21">
        <v>2.5602128133630178</v>
      </c>
    </row>
    <row r="22" spans="3:12" x14ac:dyDescent="0.25">
      <c r="C22" s="4"/>
      <c r="D22" s="4" t="s">
        <v>7</v>
      </c>
      <c r="E22" s="4">
        <v>0.25714285714285717</v>
      </c>
      <c r="F22" s="4">
        <v>2.8571428571428577</v>
      </c>
      <c r="G22" s="4">
        <v>1</v>
      </c>
      <c r="H22" s="4">
        <v>0.32142857142857156</v>
      </c>
    </row>
    <row r="23" spans="3:12" x14ac:dyDescent="0.25">
      <c r="C23" s="4"/>
      <c r="D23" s="4" t="s">
        <v>8</v>
      </c>
      <c r="E23" s="4">
        <v>5.1428571428571448E-2</v>
      </c>
      <c r="F23" s="4">
        <v>1.0827067669172936</v>
      </c>
      <c r="G23" s="4">
        <v>1</v>
      </c>
      <c r="H23" s="4">
        <v>0.32142857142857156</v>
      </c>
    </row>
    <row r="24" spans="3:12" x14ac:dyDescent="0.25">
      <c r="C24" s="4"/>
      <c r="D24" s="4" t="s">
        <v>35</v>
      </c>
      <c r="E24" s="4">
        <v>5.1428571428571448E-2</v>
      </c>
      <c r="F24" s="4">
        <v>1.0827067669172936</v>
      </c>
      <c r="G24" s="4">
        <v>1</v>
      </c>
      <c r="H24" s="4">
        <v>0.32142857142857156</v>
      </c>
    </row>
    <row r="25" spans="3:12" x14ac:dyDescent="0.25">
      <c r="C25" s="4"/>
      <c r="D25" s="4"/>
      <c r="E25" s="4"/>
      <c r="F25" s="4"/>
      <c r="G25" s="4"/>
      <c r="H25" s="4"/>
    </row>
    <row r="26" spans="3:12" x14ac:dyDescent="0.25">
      <c r="C26" s="4">
        <v>3</v>
      </c>
      <c r="D26" s="4" t="s">
        <v>7</v>
      </c>
      <c r="E26" s="4">
        <v>0.37500000000000011</v>
      </c>
      <c r="F26" s="4">
        <v>2.2272727272727275</v>
      </c>
      <c r="G26" s="4">
        <v>1.2</v>
      </c>
      <c r="H26" s="4">
        <v>3.712121212121211</v>
      </c>
      <c r="I26">
        <v>1.1592580132666153</v>
      </c>
      <c r="J26">
        <v>3.187567265827596</v>
      </c>
      <c r="L26" t="s">
        <v>43</v>
      </c>
    </row>
    <row r="27" spans="3:12" x14ac:dyDescent="0.25">
      <c r="C27" s="4"/>
      <c r="D27" s="4" t="s">
        <v>6</v>
      </c>
      <c r="E27" s="4">
        <v>0.44642857142857145</v>
      </c>
      <c r="F27" s="4">
        <v>1.793686224489796</v>
      </c>
      <c r="G27" s="4">
        <v>1.2</v>
      </c>
      <c r="H27" s="4">
        <v>0.53030303030303017</v>
      </c>
    </row>
    <row r="28" spans="3:12" x14ac:dyDescent="0.25">
      <c r="C28" s="4"/>
      <c r="D28" s="4" t="s">
        <v>8</v>
      </c>
      <c r="E28" s="4">
        <v>8.9285714285714288E-2</v>
      </c>
      <c r="F28" s="4">
        <v>2.1766169154228847</v>
      </c>
      <c r="G28" s="4">
        <v>1.2</v>
      </c>
      <c r="H28" s="4">
        <v>0.53030303030303017</v>
      </c>
    </row>
    <row r="29" spans="3:12" x14ac:dyDescent="0.25">
      <c r="C29" s="4"/>
      <c r="D29" s="4" t="s">
        <v>35</v>
      </c>
      <c r="E29" s="4">
        <v>8.9285714285714288E-2</v>
      </c>
      <c r="F29" s="4">
        <v>2.1766169154228847</v>
      </c>
      <c r="G29" s="4">
        <v>1.2</v>
      </c>
      <c r="H29" s="4">
        <v>0.53030303030303017</v>
      </c>
    </row>
    <row r="30" spans="3:12" x14ac:dyDescent="0.25">
      <c r="D30" s="4"/>
      <c r="E30" s="4"/>
      <c r="F30" s="4"/>
      <c r="G30" s="4"/>
      <c r="H30" s="4"/>
    </row>
    <row r="31" spans="3:12" x14ac:dyDescent="0.25">
      <c r="C31" s="4">
        <v>4</v>
      </c>
      <c r="D31" s="4" t="s">
        <v>7</v>
      </c>
      <c r="E31" s="4">
        <v>0.51227678571428581</v>
      </c>
      <c r="F31" s="4">
        <v>2.6121951219512196</v>
      </c>
      <c r="G31" s="4">
        <v>1.4</v>
      </c>
      <c r="H31" s="4">
        <v>2.4869918699186986</v>
      </c>
      <c r="I31">
        <v>1.081225384047914</v>
      </c>
      <c r="J31">
        <v>2.9482901261323704</v>
      </c>
    </row>
    <row r="32" spans="3:12" x14ac:dyDescent="0.25">
      <c r="C32" s="4"/>
      <c r="D32" s="4" t="s">
        <v>6</v>
      </c>
      <c r="E32" s="4">
        <v>0.34837372448979587</v>
      </c>
      <c r="F32" s="4">
        <v>1.6039700374531833</v>
      </c>
      <c r="G32" s="4">
        <v>1.4</v>
      </c>
      <c r="H32" s="4">
        <v>0.35528455284552835</v>
      </c>
    </row>
    <row r="33" spans="3:10" x14ac:dyDescent="0.25">
      <c r="C33" s="4"/>
      <c r="D33" s="4" t="s">
        <v>8</v>
      </c>
      <c r="E33" s="4">
        <v>6.9674744897959162E-2</v>
      </c>
      <c r="F33" s="4">
        <v>1.1669209809264303</v>
      </c>
      <c r="G33" s="4">
        <v>1.4</v>
      </c>
      <c r="H33" s="4">
        <v>0.35528455284552835</v>
      </c>
    </row>
    <row r="34" spans="3:10" x14ac:dyDescent="0.25">
      <c r="D34" s="4" t="s">
        <v>35</v>
      </c>
      <c r="E34" s="4">
        <v>6.9674744897959162E-2</v>
      </c>
      <c r="F34" s="4">
        <v>1.1669209809264303</v>
      </c>
      <c r="G34" s="4">
        <v>1.4</v>
      </c>
      <c r="H34" s="4">
        <v>0.35528455284552835</v>
      </c>
    </row>
    <row r="35" spans="3:10" x14ac:dyDescent="0.25">
      <c r="C35" s="4"/>
      <c r="D35" s="4"/>
      <c r="E35" s="4"/>
      <c r="F35" s="4"/>
      <c r="G35" s="4"/>
      <c r="H35" s="4"/>
    </row>
    <row r="36" spans="3:10" x14ac:dyDescent="0.25">
      <c r="C36" s="4">
        <v>5</v>
      </c>
      <c r="D36" s="4" t="s">
        <v>7</v>
      </c>
      <c r="E36" s="4">
        <v>0.65479823521205371</v>
      </c>
      <c r="F36" s="4">
        <v>3.2160686427457099</v>
      </c>
      <c r="G36" s="4">
        <v>1.8</v>
      </c>
      <c r="H36" s="4">
        <v>1.695472760086874</v>
      </c>
      <c r="I36">
        <v>0.9193138187615999</v>
      </c>
      <c r="J36">
        <v>2.5075691525569601</v>
      </c>
    </row>
    <row r="37" spans="3:10" x14ac:dyDescent="0.25">
      <c r="C37" s="4"/>
      <c r="D37" s="4" t="s">
        <v>6</v>
      </c>
      <c r="E37" s="4">
        <v>0.24657268913424737</v>
      </c>
      <c r="F37" s="4">
        <v>1.5797551125990525</v>
      </c>
      <c r="G37" s="4">
        <v>1.8</v>
      </c>
      <c r="H37" s="4">
        <v>0.24221039429812485</v>
      </c>
    </row>
    <row r="38" spans="3:10" x14ac:dyDescent="0.25">
      <c r="D38" s="4" t="s">
        <v>8</v>
      </c>
      <c r="E38" s="4">
        <v>4.9314537826849483E-2</v>
      </c>
      <c r="F38" s="4">
        <v>1.3253080734726552</v>
      </c>
      <c r="G38" s="4">
        <v>1.8</v>
      </c>
      <c r="H38" s="4">
        <v>0.24221039429812485</v>
      </c>
    </row>
    <row r="39" spans="3:10" x14ac:dyDescent="0.25">
      <c r="C39" s="4"/>
      <c r="D39" s="4" t="s">
        <v>35</v>
      </c>
      <c r="E39" s="4">
        <v>4.9314537826849483E-2</v>
      </c>
      <c r="F39" s="4">
        <v>1.3253080734726552</v>
      </c>
      <c r="G39" s="4">
        <v>1.8</v>
      </c>
      <c r="H39" s="4">
        <v>0.24221039429812485</v>
      </c>
    </row>
    <row r="40" spans="3:10" x14ac:dyDescent="0.25">
      <c r="D40" s="4"/>
      <c r="E40" s="4"/>
      <c r="F40" s="4"/>
      <c r="G40" s="4"/>
      <c r="H40" s="4"/>
    </row>
    <row r="41" spans="3:10" x14ac:dyDescent="0.25">
      <c r="C41" s="4">
        <v>6</v>
      </c>
      <c r="D41" s="4" t="s">
        <v>7</v>
      </c>
      <c r="E41" s="4">
        <v>0.80894448998982904</v>
      </c>
      <c r="F41" s="4">
        <v>3.6735316327291239</v>
      </c>
      <c r="G41" s="4">
        <v>2</v>
      </c>
      <c r="H41" s="4">
        <v>0.86761016153084025</v>
      </c>
      <c r="I41">
        <v>0.63988957700985283</v>
      </c>
      <c r="J41">
        <v>1.8962714757771961</v>
      </c>
    </row>
    <row r="42" spans="3:10" x14ac:dyDescent="0.25">
      <c r="D42" s="4" t="s">
        <v>6</v>
      </c>
      <c r="E42" s="4">
        <v>0.1364682214358364</v>
      </c>
      <c r="F42" s="4">
        <v>1.2625796480094615</v>
      </c>
      <c r="G42" s="4">
        <v>2</v>
      </c>
      <c r="H42" s="4">
        <v>0.12394430879012004</v>
      </c>
    </row>
    <row r="43" spans="3:10" x14ac:dyDescent="0.25">
      <c r="C43" s="4"/>
      <c r="D43" s="4" t="s">
        <v>8</v>
      </c>
      <c r="E43" s="4">
        <v>2.7293644287167282E-2</v>
      </c>
      <c r="F43" s="4">
        <v>1.1349044630171901</v>
      </c>
      <c r="G43" s="4">
        <v>2</v>
      </c>
      <c r="H43" s="4">
        <v>0.12394430879012004</v>
      </c>
    </row>
    <row r="44" spans="3:10" x14ac:dyDescent="0.25">
      <c r="C44" s="4"/>
      <c r="D44" s="4" t="s">
        <v>35</v>
      </c>
      <c r="E44" s="4">
        <v>2.7293644287167282E-2</v>
      </c>
      <c r="F44" s="4">
        <v>1.1349044630171901</v>
      </c>
      <c r="G44" s="4">
        <v>2</v>
      </c>
      <c r="H44" s="4">
        <v>0.12394430879012004</v>
      </c>
    </row>
    <row r="45" spans="3:10" x14ac:dyDescent="0.25">
      <c r="D45" s="4"/>
      <c r="E45" s="4"/>
      <c r="F45" s="4"/>
      <c r="G45" s="4"/>
      <c r="H45" s="4"/>
    </row>
    <row r="46" spans="3:10" x14ac:dyDescent="0.25">
      <c r="C46" s="4">
        <v>7</v>
      </c>
      <c r="D46" s="4" t="s">
        <v>7</v>
      </c>
      <c r="E46" s="4">
        <v>0.97755660360641095</v>
      </c>
      <c r="F46" s="4">
        <v>4.0583657238325044</v>
      </c>
      <c r="G46" s="4">
        <v>2</v>
      </c>
      <c r="H46" s="4">
        <v>9.3174666627079183E-2</v>
      </c>
      <c r="I46">
        <v>0.12527373958923343</v>
      </c>
      <c r="J46">
        <v>1.1334586831180955</v>
      </c>
    </row>
    <row r="47" spans="3:10" x14ac:dyDescent="0.25">
      <c r="C47" s="4"/>
      <c r="D47" s="4" t="s">
        <v>6</v>
      </c>
      <c r="E47" s="4">
        <v>1.6030997423992051E-2</v>
      </c>
      <c r="F47" s="4">
        <v>0.25214606853783628</v>
      </c>
      <c r="G47" s="4">
        <v>2</v>
      </c>
      <c r="H47" s="4">
        <v>1.3310666661011312E-2</v>
      </c>
    </row>
    <row r="48" spans="3:10" x14ac:dyDescent="0.25">
      <c r="C48" s="4"/>
      <c r="D48" s="4" t="s">
        <v>8</v>
      </c>
      <c r="E48" s="4">
        <v>3.2061994847984105E-3</v>
      </c>
      <c r="F48" s="4">
        <v>0.23819166506942421</v>
      </c>
      <c r="G48" s="4">
        <v>2</v>
      </c>
      <c r="H48" s="4">
        <v>1.3310666661011312E-2</v>
      </c>
    </row>
    <row r="49" spans="3:10" x14ac:dyDescent="0.25">
      <c r="D49" s="4" t="s">
        <v>35</v>
      </c>
      <c r="E49" s="4">
        <v>3.2061994847984105E-3</v>
      </c>
      <c r="F49" s="4">
        <v>0.23819166506942421</v>
      </c>
      <c r="G49" s="4">
        <v>2</v>
      </c>
      <c r="H49" s="4">
        <v>1.3310666661011312E-2</v>
      </c>
    </row>
    <row r="50" spans="3:10" x14ac:dyDescent="0.25">
      <c r="C50" s="4"/>
      <c r="D50" s="4"/>
      <c r="E50" s="4"/>
      <c r="F50" s="4"/>
      <c r="G50" s="4"/>
      <c r="H50" s="4"/>
    </row>
    <row r="51" spans="3:10" x14ac:dyDescent="0.25">
      <c r="C51" s="4">
        <v>8</v>
      </c>
      <c r="D51" s="4" t="s">
        <v>7</v>
      </c>
      <c r="E51" s="4">
        <v>0.99949629395832018</v>
      </c>
      <c r="F51" s="4">
        <v>4</v>
      </c>
      <c r="G51" s="4">
        <v>2</v>
      </c>
      <c r="H51" s="4">
        <v>2.0158395572833498E-3</v>
      </c>
      <c r="I51">
        <v>4.7295868931764929E-3</v>
      </c>
      <c r="J51">
        <v>1.0047407890428171</v>
      </c>
    </row>
    <row r="52" spans="3:10" x14ac:dyDescent="0.25">
      <c r="D52" s="4" t="s">
        <v>6</v>
      </c>
      <c r="E52" s="4">
        <v>3.597900297713016E-4</v>
      </c>
      <c r="F52" s="4">
        <v>4.5249490016126208E-2</v>
      </c>
      <c r="G52" s="4">
        <v>2</v>
      </c>
      <c r="H52" s="4">
        <v>2.879770796119071E-4</v>
      </c>
    </row>
    <row r="53" spans="3:10" x14ac:dyDescent="0.25">
      <c r="D53" s="4" t="s">
        <v>8</v>
      </c>
      <c r="E53" s="4">
        <v>7.1958005954260323E-5</v>
      </c>
      <c r="F53" s="4">
        <v>4.4958866334222421E-2</v>
      </c>
      <c r="G53" s="4">
        <v>2</v>
      </c>
      <c r="H53" s="4">
        <v>2.879770796119071E-4</v>
      </c>
    </row>
    <row r="54" spans="3:10" x14ac:dyDescent="0.25">
      <c r="D54" s="4" t="s">
        <v>35</v>
      </c>
      <c r="E54" s="4">
        <v>7.1958005954260323E-5</v>
      </c>
      <c r="F54" s="4">
        <v>4.4958866334222421E-2</v>
      </c>
      <c r="G54" s="4">
        <v>2</v>
      </c>
      <c r="H54" s="4">
        <v>2.879770796119071E-4</v>
      </c>
    </row>
    <row r="55" spans="3:10" x14ac:dyDescent="0.25">
      <c r="D55" s="4"/>
      <c r="E55" s="4"/>
      <c r="F55" s="4"/>
      <c r="G55" s="4"/>
      <c r="H5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1" max="1" width="8.85546875" customWidth="1"/>
    <col min="2" max="2" width="17.7109375" customWidth="1"/>
    <col min="3" max="3" width="16.42578125" customWidth="1"/>
    <col min="4" max="4" width="25.28515625" customWidth="1"/>
    <col min="6" max="6" width="87.5703125" customWidth="1"/>
  </cols>
  <sheetData>
    <row r="1" spans="1:6" x14ac:dyDescent="0.25">
      <c r="A1" s="3" t="s">
        <v>53</v>
      </c>
      <c r="B1" s="3" t="s">
        <v>33</v>
      </c>
      <c r="C1" s="2" t="s">
        <v>60</v>
      </c>
      <c r="D1" s="2" t="s">
        <v>61</v>
      </c>
      <c r="F1" s="3" t="s">
        <v>59</v>
      </c>
    </row>
    <row r="2" spans="1:6" x14ac:dyDescent="0.25">
      <c r="A2" s="4">
        <v>4050</v>
      </c>
      <c r="B2" s="6">
        <v>6007.5</v>
      </c>
      <c r="C2" s="4">
        <v>4.0532360014258799</v>
      </c>
      <c r="D2" s="4">
        <v>6</v>
      </c>
      <c r="F2" t="s">
        <v>62</v>
      </c>
    </row>
    <row r="3" spans="1:6" x14ac:dyDescent="0.25">
      <c r="A3" s="4">
        <v>4000</v>
      </c>
      <c r="B3" s="6">
        <v>2956.4640000000004</v>
      </c>
      <c r="C3" s="4" t="s">
        <v>44</v>
      </c>
      <c r="D3" s="4">
        <v>6</v>
      </c>
      <c r="F3" t="s">
        <v>63</v>
      </c>
    </row>
    <row r="4" spans="1:6" x14ac:dyDescent="0.25">
      <c r="A4" s="4">
        <v>3950</v>
      </c>
      <c r="B4" s="6">
        <v>2756.25</v>
      </c>
      <c r="C4" s="4" t="s">
        <v>44</v>
      </c>
      <c r="D4" s="4">
        <v>4</v>
      </c>
      <c r="F4" t="s">
        <v>64</v>
      </c>
    </row>
    <row r="5" spans="1:6" x14ac:dyDescent="0.25">
      <c r="A5" s="4">
        <v>3900</v>
      </c>
      <c r="B5" s="6">
        <v>11193.803999999998</v>
      </c>
      <c r="C5" s="4">
        <v>7.3193102673484196</v>
      </c>
      <c r="D5" s="4">
        <v>3</v>
      </c>
    </row>
    <row r="6" spans="1:6" x14ac:dyDescent="0.25">
      <c r="A6" s="4">
        <v>3850</v>
      </c>
      <c r="B6" s="6">
        <v>8933.3370000000014</v>
      </c>
      <c r="C6" s="4">
        <v>6.814215858471437</v>
      </c>
      <c r="D6" s="4">
        <v>1</v>
      </c>
    </row>
    <row r="7" spans="1:6" x14ac:dyDescent="0.25">
      <c r="A7" s="4">
        <v>3800</v>
      </c>
      <c r="B7" s="6">
        <v>8521.875</v>
      </c>
      <c r="C7" s="4">
        <v>8.2385996771742747</v>
      </c>
      <c r="D7" s="4">
        <v>1</v>
      </c>
    </row>
    <row r="8" spans="1:6" x14ac:dyDescent="0.25">
      <c r="A8" s="4">
        <v>3750</v>
      </c>
      <c r="B8" s="6">
        <v>12238.965</v>
      </c>
      <c r="C8" s="4">
        <v>5.9244147810297489</v>
      </c>
      <c r="D8" s="4">
        <v>1</v>
      </c>
    </row>
    <row r="9" spans="1:6" x14ac:dyDescent="0.25">
      <c r="A9" s="4">
        <v>3700</v>
      </c>
      <c r="B9" s="6">
        <v>7338.24</v>
      </c>
      <c r="C9" s="4">
        <v>5.3209740689768301</v>
      </c>
      <c r="D9" s="4">
        <v>1</v>
      </c>
    </row>
    <row r="10" spans="1:6" x14ac:dyDescent="0.25">
      <c r="A10" s="4">
        <v>3650</v>
      </c>
      <c r="B10" s="6">
        <v>12780.225</v>
      </c>
      <c r="C10" s="4">
        <v>5.488835818952138</v>
      </c>
      <c r="D10" s="4">
        <v>1</v>
      </c>
    </row>
    <row r="11" spans="1:6" x14ac:dyDescent="0.25">
      <c r="A11" s="4">
        <v>3600</v>
      </c>
      <c r="B11" s="6">
        <v>6418.125</v>
      </c>
      <c r="C11" s="4">
        <v>4.0532519072322186</v>
      </c>
      <c r="D1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Fig 2</vt:lpstr>
      <vt:lpstr>Fig 3</vt:lpstr>
      <vt:lpstr>Fig 4</vt:lpstr>
      <vt:lpstr>Fig 5</vt:lpstr>
      <vt:lpstr>Fig 6</vt:lpstr>
      <vt:lpstr>Fig 7</vt:lpstr>
      <vt:lpstr>Fig 8</vt:lpstr>
      <vt:lpstr>Fig 9</vt:lpstr>
      <vt:lpstr>Fig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2026-08-04T15:19:04Z</dcterms:modified>
</cp:coreProperties>
</file>